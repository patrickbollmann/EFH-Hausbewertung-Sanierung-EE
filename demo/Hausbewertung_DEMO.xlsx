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5.xml.rels" ContentType="application/vnd.openxmlformats-package.relationships+xml"/>
  <Override PartName="/xl/worksheets/_rels/sheet29.xml.rels" ContentType="application/vnd.openxmlformats-package.relationships+xml"/>
  <Override PartName="/xl/worksheets/_rels/sheet11.xml.rels" ContentType="application/vnd.openxmlformats-package.relationships+xml"/>
  <Override PartName="/xl/worksheets/_rels/sheet23.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8.xml.rels" ContentType="application/vnd.openxmlformats-package.relationships+xml"/>
  <Override PartName="/xl/worksheets/_rels/sheet26.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22.xml.rels" ContentType="application/vnd.openxmlformats-package.relationships+xml"/>
  <Override PartName="/xl/worksheets/_rels/sheet16.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_rels/drawing13.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1.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Anleitung" sheetId="1" state="visible" r:id="rId3"/>
    <sheet name="00_Objektindex" sheetId="2" state="visible" r:id="rId4"/>
    <sheet name="01_Annahmen" sheetId="3" state="visible" r:id="rId5"/>
    <sheet name="02_Massnahmenkatalog" sheetId="4" state="visible" r:id="rId6"/>
    <sheet name="03_Foerderprogramme" sheetId="5" state="visible" r:id="rId7"/>
    <sheet name="04_Nutzungsdauern" sheetId="6" state="visible" r:id="rId8"/>
    <sheet name="05_Energiekennwerte" sheetId="7" state="visible" r:id="rId9"/>
    <sheet name="10_VORLAGE" sheetId="8" state="visible" r:id="rId10"/>
    <sheet name="11_Kalkulation" sheetId="9" state="visible" r:id="rId11"/>
    <sheet name="12_Finanzierung" sheetId="10" state="visible" r:id="rId12"/>
    <sheet name="13_Bauzeit" sheetId="11" state="visible" r:id="rId13"/>
    <sheet name="14_Betriebskosten" sheetId="12" state="visible" r:id="rId14"/>
    <sheet name="15_Zielpreis" sheetId="13" state="visible" r:id="rId15"/>
    <sheet name="16_CO2_Betrieb" sheetId="14" state="visible" r:id="rId16"/>
    <sheet name="10_Beispiel_Luebbecke" sheetId="15" state="visible" r:id="rId17"/>
    <sheet name="11_Beispiel_Luebbecke" sheetId="16" state="visible" r:id="rId18"/>
    <sheet name="12_Beispiel_Luebbecke" sheetId="17" state="visible" r:id="rId19"/>
    <sheet name="13_Beispiel_Luebbecke" sheetId="18" state="visible" r:id="rId20"/>
    <sheet name="14_Beispiel_Luebbecke" sheetId="19" state="visible" r:id="rId21"/>
    <sheet name="15_Beispiel_Luebbecke" sheetId="20" state="visible" r:id="rId22"/>
    <sheet name="16_Beispiel_Luebbecke" sheetId="21" state="visible" r:id="rId23"/>
    <sheet name="10_Beispiel_Rahden" sheetId="22" state="visible" r:id="rId24"/>
    <sheet name="11_Beispiel_Rahden" sheetId="23" state="visible" r:id="rId25"/>
    <sheet name="12_Beispiel_Rahden" sheetId="24" state="visible" r:id="rId26"/>
    <sheet name="13_Beispiel_Rahden" sheetId="25" state="visible" r:id="rId27"/>
    <sheet name="14_Beispiel_Rahden" sheetId="26" state="visible" r:id="rId28"/>
    <sheet name="15_Beispiel_Rahden" sheetId="27" state="visible" r:id="rId29"/>
    <sheet name="16_Beispiel_Rahden" sheetId="28" state="visible" r:id="rId30"/>
    <sheet name="20_Dashboard" sheetId="29" state="visible" r:id="rId31"/>
    <sheet name="90_Quellen" sheetId="30" state="visible" r:id="rId32"/>
    <sheet name="99_Tests" sheetId="31" state="visible" r:id="rId33"/>
  </sheets>
  <definedNames>
    <definedName function="false" hidden="true" localSheetId="3" name="_xlnm._FilterDatabase" vbProcedure="false">02_Massnahmenkatalog!$B$3:$N$54</definedName>
    <definedName function="false" hidden="true" localSheetId="14" name="_xlnm._FilterDatabase" vbProcedure="false">10_Beispiel_Luebbecke!$B$50:$W$101</definedName>
    <definedName function="false" hidden="true" localSheetId="21" name="_xlnm._FilterDatabase" vbProcedure="false">10_Beispiel_Rahden!$B$50:$W$101</definedName>
    <definedName function="false" hidden="true" localSheetId="7" name="_xlnm._FilterDatabase" vbProcedure="false">10_VORLAGE!$B$50:$W$101</definedName>
    <definedName function="false" hidden="false" name="A_Anschluesse" vbProcedure="false">01_Annahmen!$C$45</definedName>
    <definedName function="false" hidden="false" name="A_Aussen" vbProcedure="false">01_Annahmen!$C$44</definedName>
    <definedName function="false" hidden="false" name="A_Baupreis" vbProcedure="false">01_Annahmen!$C$19</definedName>
    <definedName function="false" hidden="false" name="A_Baupreis_IH" vbProcedure="false">01_Annahmen!$C$20</definedName>
    <definedName function="false" hidden="false" name="A_Bereitstellung" vbProcedure="false">01_Annahmen!$C$37</definedName>
    <definedName function="false" hidden="false" name="A_Bereit_frei" vbProcedure="false">01_Annahmen!$C$38</definedName>
    <definedName function="false" hidden="false" name="A_BNK" vbProcedure="false">01_Annahmen!$C$43</definedName>
    <definedName function="false" hidden="false" name="A_CO2_Fernwaerme" vbProcedure="false">01_Annahmen!$C$70</definedName>
    <definedName function="false" hidden="false" name="A_CO2_Gas" vbProcedure="false">01_Annahmen!$C$67</definedName>
    <definedName function="false" hidden="false" name="A_CO2_Oel" vbProcedure="false">01_Annahmen!$C$68</definedName>
    <definedName function="false" hidden="false" name="A_CO2_Pellet" vbProcedure="false">01_Annahmen!$C$69</definedName>
    <definedName function="false" hidden="false" name="A_CO2_PV" vbProcedure="false">01_Annahmen!$C$71</definedName>
    <definedName function="false" hidden="false" name="A_CO2_Strom" vbProcedure="false">01_Annahmen!$C$66</definedName>
    <definedName function="false" hidden="false" name="A_Diskont" vbProcedure="false">01_Annahmen!$C$21</definedName>
    <definedName function="false" hidden="false" name="A_Einkommen" vbProcedure="false">01_Annahmen!$C$9</definedName>
    <definedName function="false" hidden="false" name="A_EK" vbProcedure="false">01_Annahmen!$C$6</definedName>
    <definedName function="false" hidden="false" name="A_EK_NK_first" vbProcedure="false">01_Annahmen!$C$7</definedName>
    <definedName function="false" hidden="false" name="A_EL_Material" vbProcedure="false">01_Annahmen!$C$86</definedName>
    <definedName function="false" hidden="false" name="A_EL_Satz" vbProcedure="false">01_Annahmen!$C$85</definedName>
    <definedName function="false" hidden="false" name="A_EL_Warn" vbProcedure="false">01_Annahmen!$C$87</definedName>
    <definedName function="false" hidden="false" name="A_Energiepreis" vbProcedure="false">01_Annahmen!$C$24</definedName>
    <definedName function="false" hidden="false" name="A_F_Dach" vbProcedure="false">01_Annahmen!$C$73</definedName>
    <definedName function="false" hidden="false" name="A_F_Dach_flach" vbProcedure="false">01_Annahmen!$C$74</definedName>
    <definedName function="false" hidden="false" name="A_F_FBH" vbProcedure="false">01_Annahmen!$C$80</definedName>
    <definedName function="false" hidden="false" name="A_F_Fenster" vbProcedure="false">01_Annahmen!$C$77</definedName>
    <definedName function="false" hidden="false" name="A_F_Fenstergr" vbProcedure="false">01_Annahmen!$C$78</definedName>
    <definedName function="false" hidden="false" name="A_F_Geruest" vbProcedure="false">01_Annahmen!$C$79</definedName>
    <definedName function="false" hidden="false" name="A_F_Geschoss" vbProcedure="false">01_Annahmen!$C$76</definedName>
    <definedName function="false" hidden="false" name="A_F_HK" vbProcedure="false">01_Annahmen!$C$81</definedName>
    <definedName function="false" hidden="false" name="A_F_Raeume" vbProcedure="false">01_Annahmen!$C$83</definedName>
    <definedName function="false" hidden="false" name="A_F_Tueren" vbProcedure="false">01_Annahmen!$C$82</definedName>
    <definedName function="false" hidden="false" name="A_F_Umfang" vbProcedure="false">01_Annahmen!$C$75</definedName>
    <definedName function="false" hidden="false" name="A_GrESt" vbProcedure="false">01_Annahmen!$C$14</definedName>
    <definedName function="false" hidden="false" name="A_HH_Strom_Person" vbProcedure="false">01_Annahmen!$C$64</definedName>
    <definedName function="false" hidden="false" name="A_Horizont" vbProcedure="false">01_Annahmen!$C$5</definedName>
    <definedName function="false" hidden="false" name="A_Inventar" vbProcedure="false">01_Annahmen!$C$17</definedName>
    <definedName function="false" hidden="false" name="A_Jahr" vbProcedure="false">01_Annahmen!$C$4</definedName>
    <definedName function="false" hidden="false" name="A_JAZ_FBH" vbProcedure="false">01_Annahmen!$C$60</definedName>
    <definedName function="false" hidden="false" name="A_JAZ_HK45" vbProcedure="false">01_Annahmen!$C$61</definedName>
    <definedName function="false" hidden="false" name="A_JAZ_HK55" vbProcedure="false">01_Annahmen!$C$62</definedName>
    <definedName function="false" hidden="false" name="A_KfW_tf" vbProcedure="false">01_Annahmen!$C$35</definedName>
    <definedName function="false" hidden="false" name="A_Kinder" vbProcedure="false">01_Annahmen!$C$10</definedName>
    <definedName function="false" hidden="false" name="A_Laufzeit" vbProcedure="false">01_Annahmen!$C$32</definedName>
    <definedName function="false" hidden="false" name="A_Makler" vbProcedure="false">01_Annahmen!$C$16</definedName>
    <definedName function="false" hidden="false" name="A_NB_GEG" vbProcedure="false">01_Annahmen!$C$40</definedName>
    <definedName function="false" hidden="false" name="A_NB_Mehrkosten_EH40" vbProcedure="false">01_Annahmen!$C$42</definedName>
    <definedName function="false" hidden="false" name="A_NB_Mehrkosten_EH55" vbProcedure="false">01_Annahmen!$C$41</definedName>
    <definedName function="false" hidden="false" name="A_Notar" vbProcedure="false">01_Annahmen!$C$15</definedName>
    <definedName function="false" hidden="false" name="A_Personen" vbProcedure="false">01_Annahmen!$C$65</definedName>
    <definedName function="false" hidden="false" name="A_Puffer" vbProcedure="false">01_Annahmen!$C$23</definedName>
    <definedName function="false" hidden="false" name="A_PV_Anteil" vbProcedure="false">01_Annahmen!$C$57</definedName>
    <definedName function="false" hidden="false" name="A_PV_Ertrag" vbProcedure="false">01_Annahmen!$C$54</definedName>
    <definedName function="false" hidden="false" name="A_PV_EV" vbProcedure="false">01_Annahmen!$C$58</definedName>
    <definedName function="false" hidden="false" name="A_PV_Flaeche" vbProcedure="false">01_Annahmen!$C$56</definedName>
    <definedName function="false" hidden="false" name="A_PV_OW" vbProcedure="false">01_Annahmen!$C$55</definedName>
    <definedName function="false" hidden="false" name="A_P_Einspeisung" vbProcedure="false">01_Annahmen!$C$53</definedName>
    <definedName function="false" hidden="false" name="A_P_Fernwaerme" vbProcedure="false">01_Annahmen!$C$52</definedName>
    <definedName function="false" hidden="false" name="A_P_Gas" vbProcedure="false">01_Annahmen!$C$49</definedName>
    <definedName function="false" hidden="false" name="A_P_Oel" vbProcedure="false">01_Annahmen!$C$50</definedName>
    <definedName function="false" hidden="false" name="A_P_Pellet" vbProcedure="false">01_Annahmen!$C$51</definedName>
    <definedName function="false" hidden="false" name="A_P_Strom" vbProcedure="false">01_Annahmen!$C$47</definedName>
    <definedName function="false" hidden="false" name="A_P_WPStrom" vbProcedure="false">01_Annahmen!$C$48</definedName>
    <definedName function="false" hidden="false" name="A_Regio" vbProcedure="false">01_Annahmen!$C$22</definedName>
    <definedName function="false" hidden="false" name="A_Selbstnutzung" vbProcedure="false">01_Annahmen!$C$11</definedName>
    <definedName function="false" hidden="false" name="A_Speicher_kWp" vbProcedure="false">01_Annahmen!$C$59</definedName>
    <definedName function="false" hidden="false" name="A_Tilgung" vbProcedure="false">01_Annahmen!$C$33</definedName>
    <definedName function="false" hidden="false" name="A_Tragfaehigkeit_Quote" vbProcedure="false">01_Annahmen!$C$12</definedName>
    <definedName function="false" hidden="false" name="A_WW_Person" vbProcedure="false">01_Annahmen!$C$63</definedName>
    <definedName function="false" hidden="false" name="A_Zielrabatt" vbProcedure="false">01_Annahmen!$C$8</definedName>
    <definedName function="false" hidden="false" name="A_Zinsbindung" vbProcedure="false">01_Annahmen!$C$30</definedName>
    <definedName function="false" hidden="false" name="A_Zins_100" vbProcedure="false">01_Annahmen!$C$28</definedName>
    <definedName function="false" hidden="false" name="A_Zins_60" vbProcedure="false">01_Annahmen!$C$26</definedName>
    <definedName function="false" hidden="false" name="A_Zins_80" vbProcedure="false">01_Annahmen!$C$27</definedName>
    <definedName function="false" hidden="false" name="A_Zins_Anschluss" vbProcedure="false">01_Annahmen!$C$31</definedName>
    <definedName function="false" hidden="false" name="A_Zins_green" vbProcedure="false">01_Annahmen!$C$29</definedName>
    <definedName function="false" hidden="false" name="A_Zins_KfW261" vbProcedure="false">01_Annahmen!$C$34</definedName>
    <definedName function="false" hidden="false" name="A_Zins_KfW358" vbProcedure="false">01_Annahmen!$C$36</definedName>
    <definedName function="false" hidden="false" localSheetId="7" name="Obj_Adresse" vbProcedure="false">10_VORLAGE!$C$4</definedName>
    <definedName function="false" hidden="false" localSheetId="7" name="Obj_Anpassungsfaktor" vbProcedure="false">10_VORLAGE!$C$12</definedName>
    <definedName function="false" hidden="false" localSheetId="7" name="Obj_AnzBaeder" vbProcedure="false">10_VORLAGE!$C$25</definedName>
    <definedName function="false" hidden="false" localSheetId="7" name="Obj_AnzFenster" vbProcedure="false">10_VORLAGE!$C$39</definedName>
    <definedName function="false" hidden="false" localSheetId="7" name="Obj_AnzHeizkoerper" vbProcedure="false">10_VORLAGE!$C$41</definedName>
    <definedName function="false" hidden="false" localSheetId="7" name="Obj_AnzNachtspeicher" vbProcedure="false">10_VORLAGE!$C$19</definedName>
    <definedName function="false" hidden="false" localSheetId="7" name="Obj_AnzRaeume" vbProcedure="false">10_VORLAGE!$C$43</definedName>
    <definedName function="false" hidden="false" localSheetId="7" name="Obj_AnzTueren" vbProcedure="false">10_VORLAGE!$C$42</definedName>
    <definedName function="false" hidden="false" localSheetId="7" name="Obj_Baujahr" vbProcedure="false">10_VORLAGE!$C$7</definedName>
    <definedName function="false" hidden="false" localSheetId="7" name="Obj_Bodenrichtwert" vbProcedure="false">10_VORLAGE!$C$11</definedName>
    <definedName function="false" hidden="false" localSheetId="7" name="Obj_DachEternit" vbProcedure="false">10_VORLAGE!$C$16</definedName>
    <definedName function="false" hidden="false" localSheetId="7" name="Obj_Dachflaeche" vbProcedure="false">10_VORLAGE!$C$40</definedName>
    <definedName function="false" hidden="false" localSheetId="7" name="Obj_Dachform" vbProcedure="false">10_VORLAGE!$C$15</definedName>
    <definedName function="false" hidden="false" localSheetId="7" name="Obj_EinzugNachSanierung" vbProcedure="false">10_VORLAGE!$C$28</definedName>
    <definedName function="false" hidden="false" localSheetId="7" name="Obj_Energieausweis" vbProcedure="false">10_VORLAGE!$C$17</definedName>
    <definedName function="false" hidden="false" localSheetId="7" name="Obj_Fassadenflaeche" vbProcedure="false">10_VORLAGE!$C$37</definedName>
    <definedName function="false" hidden="false" localSheetId="7" name="Obj_Fensterflaeche" vbProcedure="false">10_VORLAGE!$C$38</definedName>
    <definedName function="false" hidden="false" localSheetId="7" name="Obj_FeuchteKeller" vbProcedure="false">10_VORLAGE!$C$20</definedName>
    <definedName function="false" hidden="false" localSheetId="7" name="Obj_Foerderweg_Wahl" vbProcedure="false">10_VORLAGE!$C$23</definedName>
    <definedName function="false" hidden="false" localSheetId="7" name="Obj_Geschosse" vbProcedure="false">10_VORLAGE!$C$13</definedName>
    <definedName function="false" hidden="false" localSheetId="7" name="Obj_Grundflaeche" vbProcedure="false">10_VORLAGE!$C$35</definedName>
    <definedName function="false" hidden="false" localSheetId="7" name="Obj_Grundstuecksflaeche" vbProcedure="false">10_VORLAGE!$C$10</definedName>
    <definedName function="false" hidden="false" localSheetId="7" name="Obj_Grundstueckswert" vbProcedure="false">10_VORLAGE!$C$32</definedName>
    <definedName function="false" hidden="false" localSheetId="7" name="Obj_HeizungAlt" vbProcedure="false">10_VORLAGE!$C$18</definedName>
    <definedName function="false" hidden="false" localSheetId="7" name="Obj_iSFP_JN" vbProcedure="false">10_VORLAGE!$C$22</definedName>
    <definedName function="false" hidden="false" localSheetId="7" name="Obj_Kaufpreis" vbProcedure="false">10_VORLAGE!$C$8</definedName>
    <definedName function="false" hidden="false" localSheetId="7" name="Obj_KellerTyp" vbProcedure="false">10_VORLAGE!$C$14</definedName>
    <definedName function="false" hidden="false" localSheetId="7" name="Obj_MaklerJN" vbProcedure="false">10_VORLAGE!$C$24</definedName>
    <definedName function="false" hidden="false" localSheetId="7" name="Obj_Ort" vbProcedure="false">10_VORLAGE!$C$6</definedName>
    <definedName function="false" hidden="false" localSheetId="7" name="Obj_ParallelmieteMonat" vbProcedure="false">10_VORLAGE!$C$29</definedName>
    <definedName function="false" hidden="false" localSheetId="7" name="Obj_PersonenEffektiv" vbProcedure="false">10_VORLAGE!$C$47</definedName>
    <definedName function="false" hidden="false" localSheetId="7" name="Obj_PersonenOverride" vbProcedure="false">10_VORLAGE!$C$26</definedName>
    <definedName function="false" hidden="false" localSheetId="7" name="Obj_PLZ" vbProcedure="false">10_VORLAGE!$C$5</definedName>
    <definedName function="false" hidden="false" localSheetId="7" name="Obj_PV_Ausrichtung" vbProcedure="false">10_VORLAGE!$C$31</definedName>
    <definedName function="false" hidden="false" localSheetId="7" name="Obj_PV_DachflaecheNutzbar" vbProcedure="false">10_VORLAGE!$C$44</definedName>
    <definedName function="false" hidden="false" localSheetId="7" name="Obj_PV_kWp" vbProcedure="false">10_VORLAGE!$C$45</definedName>
    <definedName function="false" hidden="false" localSheetId="7" name="Obj_PV_kWp_Override" vbProcedure="false">10_VORLAGE!$C$30</definedName>
    <definedName function="false" hidden="false" localSheetId="7" name="Obj_PV_SpeicherKWh" vbProcedure="false">10_VORLAGE!$C$46</definedName>
    <definedName function="false" hidden="false" localSheetId="7" name="Obj_SanierungsdauerMonate" vbProcedure="false">10_VORLAGE!$C$27</definedName>
    <definedName function="false" hidden="false" localSheetId="7" name="Obj_Umfang" vbProcedure="false">10_VORLAGE!$C$36</definedName>
    <definedName function="false" hidden="false" localSheetId="7" name="Obj_Wohnflaeche" vbProcedure="false">10_VORLAGE!$C$9</definedName>
    <definedName function="false" hidden="false" localSheetId="7" name="Obj_Zielstandard" vbProcedure="false">10_VORLAGE!$C$21</definedName>
    <definedName function="false" hidden="false" localSheetId="14" name="Obj_Adresse" vbProcedure="false">10_Beispiel_Luebbecke!$C$4</definedName>
    <definedName function="false" hidden="false" localSheetId="14" name="Obj_Anpassungsfaktor" vbProcedure="false">10_Beispiel_Luebbecke!$C$12</definedName>
    <definedName function="false" hidden="false" localSheetId="14" name="Obj_AnzBaeder" vbProcedure="false">10_Beispiel_Luebbecke!$C$25</definedName>
    <definedName function="false" hidden="false" localSheetId="14" name="Obj_AnzFenster" vbProcedure="false">10_Beispiel_Luebbecke!$C$39</definedName>
    <definedName function="false" hidden="false" localSheetId="14" name="Obj_AnzHeizkoerper" vbProcedure="false">10_Beispiel_Luebbecke!$C$41</definedName>
    <definedName function="false" hidden="false" localSheetId="14" name="Obj_AnzNachtspeicher" vbProcedure="false">10_Beispiel_Luebbecke!$C$19</definedName>
    <definedName function="false" hidden="false" localSheetId="14" name="Obj_AnzRaeume" vbProcedure="false">10_Beispiel_Luebbecke!$C$43</definedName>
    <definedName function="false" hidden="false" localSheetId="14" name="Obj_AnzTueren" vbProcedure="false">10_Beispiel_Luebbecke!$C$42</definedName>
    <definedName function="false" hidden="false" localSheetId="14" name="Obj_Baujahr" vbProcedure="false">10_Beispiel_Luebbecke!$C$7</definedName>
    <definedName function="false" hidden="false" localSheetId="14" name="Obj_Bodenrichtwert" vbProcedure="false">10_Beispiel_Luebbecke!$C$11</definedName>
    <definedName function="false" hidden="false" localSheetId="14" name="Obj_DachEternit" vbProcedure="false">10_Beispiel_Luebbecke!$C$16</definedName>
    <definedName function="false" hidden="false" localSheetId="14" name="Obj_Dachflaeche" vbProcedure="false">10_Beispiel_Luebbecke!$C$40</definedName>
    <definedName function="false" hidden="false" localSheetId="14" name="Obj_Dachform" vbProcedure="false">10_Beispiel_Luebbecke!$C$15</definedName>
    <definedName function="false" hidden="false" localSheetId="14" name="Obj_EinzugNachSanierung" vbProcedure="false">10_Beispiel_Luebbecke!$C$28</definedName>
    <definedName function="false" hidden="false" localSheetId="14" name="Obj_Energieausweis" vbProcedure="false">10_Beispiel_Luebbecke!$C$17</definedName>
    <definedName function="false" hidden="false" localSheetId="14" name="Obj_Fassadenflaeche" vbProcedure="false">10_Beispiel_Luebbecke!$C$37</definedName>
    <definedName function="false" hidden="false" localSheetId="14" name="Obj_Fensterflaeche" vbProcedure="false">10_Beispiel_Luebbecke!$C$38</definedName>
    <definedName function="false" hidden="false" localSheetId="14" name="Obj_FeuchteKeller" vbProcedure="false">10_Beispiel_Luebbecke!$C$20</definedName>
    <definedName function="false" hidden="false" localSheetId="14" name="Obj_Foerderweg_Wahl" vbProcedure="false">10_Beispiel_Luebbecke!$C$23</definedName>
    <definedName function="false" hidden="false" localSheetId="14" name="Obj_Geschosse" vbProcedure="false">10_Beispiel_Luebbecke!$C$13</definedName>
    <definedName function="false" hidden="false" localSheetId="14" name="Obj_Grundflaeche" vbProcedure="false">10_Beispiel_Luebbecke!$C$35</definedName>
    <definedName function="false" hidden="false" localSheetId="14" name="Obj_Grundstuecksflaeche" vbProcedure="false">10_Beispiel_Luebbecke!$C$10</definedName>
    <definedName function="false" hidden="false" localSheetId="14" name="Obj_Grundstueckswert" vbProcedure="false">10_Beispiel_Luebbecke!$C$32</definedName>
    <definedName function="false" hidden="false" localSheetId="14" name="Obj_HeizungAlt" vbProcedure="false">10_Beispiel_Luebbecke!$C$18</definedName>
    <definedName function="false" hidden="false" localSheetId="14" name="Obj_iSFP_JN" vbProcedure="false">10_Beispiel_Luebbecke!$C$22</definedName>
    <definedName function="false" hidden="false" localSheetId="14" name="Obj_Kaufpreis" vbProcedure="false">10_Beispiel_Luebbecke!$C$8</definedName>
    <definedName function="false" hidden="false" localSheetId="14" name="Obj_KellerTyp" vbProcedure="false">10_Beispiel_Luebbecke!$C$14</definedName>
    <definedName function="false" hidden="false" localSheetId="14" name="Obj_MaklerJN" vbProcedure="false">10_Beispiel_Luebbecke!$C$24</definedName>
    <definedName function="false" hidden="false" localSheetId="14" name="Obj_Ort" vbProcedure="false">10_Beispiel_Luebbecke!$C$6</definedName>
    <definedName function="false" hidden="false" localSheetId="14" name="Obj_ParallelmieteMonat" vbProcedure="false">10_Beispiel_Luebbecke!$C$29</definedName>
    <definedName function="false" hidden="false" localSheetId="14" name="Obj_PersonenEffektiv" vbProcedure="false">10_Beispiel_Luebbecke!$C$47</definedName>
    <definedName function="false" hidden="false" localSheetId="14" name="Obj_PersonenOverride" vbProcedure="false">10_Beispiel_Luebbecke!$C$26</definedName>
    <definedName function="false" hidden="false" localSheetId="14" name="Obj_PLZ" vbProcedure="false">10_Beispiel_Luebbecke!$C$5</definedName>
    <definedName function="false" hidden="false" localSheetId="14" name="Obj_PV_Ausrichtung" vbProcedure="false">10_Beispiel_Luebbecke!$C$31</definedName>
    <definedName function="false" hidden="false" localSheetId="14" name="Obj_PV_DachflaecheNutzbar" vbProcedure="false">10_Beispiel_Luebbecke!$C$44</definedName>
    <definedName function="false" hidden="false" localSheetId="14" name="Obj_PV_kWp" vbProcedure="false">10_Beispiel_Luebbecke!$C$45</definedName>
    <definedName function="false" hidden="false" localSheetId="14" name="Obj_PV_kWp_Override" vbProcedure="false">10_Beispiel_Luebbecke!$C$30</definedName>
    <definedName function="false" hidden="false" localSheetId="14" name="Obj_PV_SpeicherKWh" vbProcedure="false">10_Beispiel_Luebbecke!$C$46</definedName>
    <definedName function="false" hidden="false" localSheetId="14" name="Obj_SanierungsdauerMonate" vbProcedure="false">10_Beispiel_Luebbecke!$C$27</definedName>
    <definedName function="false" hidden="false" localSheetId="14" name="Obj_Umfang" vbProcedure="false">10_Beispiel_Luebbecke!$C$36</definedName>
    <definedName function="false" hidden="false" localSheetId="14" name="Obj_Wohnflaeche" vbProcedure="false">10_Beispiel_Luebbecke!$C$9</definedName>
    <definedName function="false" hidden="false" localSheetId="14" name="Obj_Zielstandard" vbProcedure="false">10_Beispiel_Luebbecke!$C$21</definedName>
    <definedName function="false" hidden="false" localSheetId="21" name="Obj_Adresse" vbProcedure="false">10_Beispiel_Rahden!$C$4</definedName>
    <definedName function="false" hidden="false" localSheetId="21" name="Obj_Anpassungsfaktor" vbProcedure="false">10_Beispiel_Rahden!$C$12</definedName>
    <definedName function="false" hidden="false" localSheetId="21" name="Obj_AnzBaeder" vbProcedure="false">10_Beispiel_Rahden!$C$25</definedName>
    <definedName function="false" hidden="false" localSheetId="21" name="Obj_AnzFenster" vbProcedure="false">10_Beispiel_Rahden!$C$39</definedName>
    <definedName function="false" hidden="false" localSheetId="21" name="Obj_AnzHeizkoerper" vbProcedure="false">10_Beispiel_Rahden!$C$41</definedName>
    <definedName function="false" hidden="false" localSheetId="21" name="Obj_AnzNachtspeicher" vbProcedure="false">10_Beispiel_Rahden!$C$19</definedName>
    <definedName function="false" hidden="false" localSheetId="21" name="Obj_AnzRaeume" vbProcedure="false">10_Beispiel_Rahden!$C$43</definedName>
    <definedName function="false" hidden="false" localSheetId="21" name="Obj_AnzTueren" vbProcedure="false">10_Beispiel_Rahden!$C$42</definedName>
    <definedName function="false" hidden="false" localSheetId="21" name="Obj_Baujahr" vbProcedure="false">10_Beispiel_Rahden!$C$7</definedName>
    <definedName function="false" hidden="false" localSheetId="21" name="Obj_Bodenrichtwert" vbProcedure="false">10_Beispiel_Rahden!$C$11</definedName>
    <definedName function="false" hidden="false" localSheetId="21" name="Obj_DachEternit" vbProcedure="false">10_Beispiel_Rahden!$C$16</definedName>
    <definedName function="false" hidden="false" localSheetId="21" name="Obj_Dachflaeche" vbProcedure="false">10_Beispiel_Rahden!$C$40</definedName>
    <definedName function="false" hidden="false" localSheetId="21" name="Obj_Dachform" vbProcedure="false">10_Beispiel_Rahden!$C$15</definedName>
    <definedName function="false" hidden="false" localSheetId="21" name="Obj_EinzugNachSanierung" vbProcedure="false">10_Beispiel_Rahden!$C$28</definedName>
    <definedName function="false" hidden="false" localSheetId="21" name="Obj_Energieausweis" vbProcedure="false">10_Beispiel_Rahden!$C$17</definedName>
    <definedName function="false" hidden="false" localSheetId="21" name="Obj_Fassadenflaeche" vbProcedure="false">10_Beispiel_Rahden!$C$37</definedName>
    <definedName function="false" hidden="false" localSheetId="21" name="Obj_Fensterflaeche" vbProcedure="false">10_Beispiel_Rahden!$C$38</definedName>
    <definedName function="false" hidden="false" localSheetId="21" name="Obj_FeuchteKeller" vbProcedure="false">10_Beispiel_Rahden!$C$20</definedName>
    <definedName function="false" hidden="false" localSheetId="21" name="Obj_Foerderweg_Wahl" vbProcedure="false">10_Beispiel_Rahden!$C$23</definedName>
    <definedName function="false" hidden="false" localSheetId="21" name="Obj_Geschosse" vbProcedure="false">10_Beispiel_Rahden!$C$13</definedName>
    <definedName function="false" hidden="false" localSheetId="21" name="Obj_Grundflaeche" vbProcedure="false">10_Beispiel_Rahden!$C$35</definedName>
    <definedName function="false" hidden="false" localSheetId="21" name="Obj_Grundstuecksflaeche" vbProcedure="false">10_Beispiel_Rahden!$C$10</definedName>
    <definedName function="false" hidden="false" localSheetId="21" name="Obj_Grundstueckswert" vbProcedure="false">10_Beispiel_Rahden!$C$32</definedName>
    <definedName function="false" hidden="false" localSheetId="21" name="Obj_HeizungAlt" vbProcedure="false">10_Beispiel_Rahden!$C$18</definedName>
    <definedName function="false" hidden="false" localSheetId="21" name="Obj_iSFP_JN" vbProcedure="false">10_Beispiel_Rahden!$C$22</definedName>
    <definedName function="false" hidden="false" localSheetId="21" name="Obj_Kaufpreis" vbProcedure="false">10_Beispiel_Rahden!$C$8</definedName>
    <definedName function="false" hidden="false" localSheetId="21" name="Obj_KellerTyp" vbProcedure="false">10_Beispiel_Rahden!$C$14</definedName>
    <definedName function="false" hidden="false" localSheetId="21" name="Obj_MaklerJN" vbProcedure="false">10_Beispiel_Rahden!$C$24</definedName>
    <definedName function="false" hidden="false" localSheetId="21" name="Obj_Ort" vbProcedure="false">10_Beispiel_Rahden!$C$6</definedName>
    <definedName function="false" hidden="false" localSheetId="21" name="Obj_ParallelmieteMonat" vbProcedure="false">10_Beispiel_Rahden!$C$29</definedName>
    <definedName function="false" hidden="false" localSheetId="21" name="Obj_PersonenEffektiv" vbProcedure="false">10_Beispiel_Rahden!$C$47</definedName>
    <definedName function="false" hidden="false" localSheetId="21" name="Obj_PersonenOverride" vbProcedure="false">10_Beispiel_Rahden!$C$26</definedName>
    <definedName function="false" hidden="false" localSheetId="21" name="Obj_PLZ" vbProcedure="false">10_Beispiel_Rahden!$C$5</definedName>
    <definedName function="false" hidden="false" localSheetId="21" name="Obj_PV_Ausrichtung" vbProcedure="false">10_Beispiel_Rahden!$C$31</definedName>
    <definedName function="false" hidden="false" localSheetId="21" name="Obj_PV_DachflaecheNutzbar" vbProcedure="false">10_Beispiel_Rahden!$C$44</definedName>
    <definedName function="false" hidden="false" localSheetId="21" name="Obj_PV_kWp" vbProcedure="false">10_Beispiel_Rahden!$C$45</definedName>
    <definedName function="false" hidden="false" localSheetId="21" name="Obj_PV_kWp_Override" vbProcedure="false">10_Beispiel_Rahden!$C$30</definedName>
    <definedName function="false" hidden="false" localSheetId="21" name="Obj_PV_SpeicherKWh" vbProcedure="false">10_Beispiel_Rahden!$C$46</definedName>
    <definedName function="false" hidden="false" localSheetId="21" name="Obj_SanierungsdauerMonate" vbProcedure="false">10_Beispiel_Rahden!$C$27</definedName>
    <definedName function="false" hidden="false" localSheetId="21" name="Obj_Umfang" vbProcedure="false">10_Beispiel_Rahden!$C$36</definedName>
    <definedName function="false" hidden="false" localSheetId="21" name="Obj_Wohnflaeche" vbProcedure="false">10_Beispiel_Rahden!$C$9</definedName>
    <definedName function="false" hidden="false" localSheetId="21" name="Obj_Zielstandard" vbProcedure="false">10_Beispiel_Rahden!$C$21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<sst xmlns="http://schemas.openxmlformats.org/spreadsheetml/2006/main" count="2411" uniqueCount="901">
  <si>
    <t xml:space="preserve">Anleitung — Excel-Modell Hausbewertung NRW</t>
  </si>
  <si>
    <t xml:space="preserve">Farblegende</t>
  </si>
  <si>
    <t xml:space="preserve">Gelb, blaue Schrift</t>
  </si>
  <si>
    <t xml:space="preserve">Eingabezelle — hier tippst du Werte ein</t>
  </si>
  <si>
    <t xml:space="preserve">Weiß, schwarze Schrift</t>
  </si>
  <si>
    <t xml:space="preserve">Formel — nicht überschreiben</t>
  </si>
  <si>
    <t xml:space="preserve">Grün, fett</t>
  </si>
  <si>
    <t xml:space="preserve">Ergebnis/Kennzahl</t>
  </si>
  <si>
    <t xml:space="preserve">Rot</t>
  </si>
  <si>
    <t xml:space="preserve">Warnung / Plausibilitätsverstoß</t>
  </si>
  <si>
    <t xml:space="preserve">Kursiv grau</t>
  </si>
  <si>
    <t xml:space="preserve">Kommentar / Quellenhinweis</t>
  </si>
  <si>
    <t xml:space="preserve">Neues Objekt (Haus) anlegen — Schritt für Schritt</t>
  </si>
  <si>
    <t xml:space="preserve">1. Objekt-ID vergeben: kurzes Kürzel ohne Unterstrich/Leerzeichen, z.B. Rahden1 oder O1. Excel erlaubt max. 31 Zeichen je Blattname, keine Sonderzeichen (/ \ ? * [ ] :) - die ID muss kurz genug sein, dass '11_'+ID (usw.) darunter bleibt.</t>
  </si>
  <si>
    <t xml:space="preserve">2. Die sieben Blätter 10_VORLAGE, 11_Kalkulation, 12_Finanzierung, 13_Bauzeit, 14_Betriebskosten, 15_Zielpreis, 16_CO2_Betrieb mit Strg+Klick auf die Reiter gemeinsam markieren.</t>
  </si>
  <si>
    <t xml:space="preserve">3. Rechtsklick auf einen markierten Reiter -&gt; 'Blatt verschieben/kopieren...' -&gt; Häkchen 'Kopie erstellen' setzen -&gt; OK. Excel kopiert alle sieben Blätter als Gruppe und passt ihre internen Querverweise automatisch an.</t>
  </si>
  <si>
    <t xml:space="preserve">4. Alle sieben neuen Blätter umbenennen (Doppelklick auf den Reiter): Ziffernpräfix behalten, den Rest durch die Objekt-ID ersetzen - z.B. '11_Kalkulation (2)' -&gt; '11_Rahden1', '12_Finanzierung (2)' -&gt; '12_Rahden1' usw. Ergebnis: 10_&lt;ID&gt;, 11_&lt;ID&gt;, 12_&lt;ID&gt;, 13_&lt;ID&gt;, 14_&lt;ID&gt;, 15_&lt;ID&gt;, 16_&lt;ID&gt;.</t>
  </si>
  <si>
    <t xml:space="preserve">5. Reiterfarbe setzen (Rechtsklick -&gt; Registerfarbe) - eine Farbe je Objekt, damit Blattgruppen erkennbar bleiben.</t>
  </si>
  <si>
    <t xml:space="preserve">6. Objektdaten auf 10_&lt;ID&gt; eintragen (gelbe Zellen) und die Sanierungs-Checkliste durchgehen.</t>
  </si>
  <si>
    <t xml:space="preserve">7. Auf 00_Objektindex in der nächsten freien Zeile nur die Objekt-ID eintragen. Adresse, Kaufpreis, Wohnfläche usw. sowie die Sprunglinks erscheinen automatisch per INDIRECT()-Formel.</t>
  </si>
  <si>
    <t xml:space="preserve">8. 20_Dashboard übernimmt die Objekt-ID-Liste automatisch von 00_Objektindex und zieht alle Kennzahlen per INDIRECT() aus den zugehörigen 11_&lt;ID&gt;/12_&lt;ID&gt;/15_&lt;ID&gt;/16_&lt;ID&gt;-Blättern - keine manuelle Pflege, kein 'Alle aktualisieren' nötig (das Modell verwendet bewusst kein Power Query, da openpyxl keine echten Datenverbindungen erzeugen kann).</t>
  </si>
  <si>
    <t xml:space="preserve">9. Es ist bewusst KEIN Blattschutz aktiv (siehe Hinweis unten) - beim Ausfüllen nur die gelben Zellen anfassen, weiße Formelzellen nicht überschreiben.</t>
  </si>
  <si>
    <t xml:space="preserve">Wichtige Hinweise</t>
  </si>
  <si>
    <t xml:space="preserve">• DISCLAIMER (Stand 20.08.2026): Alle Förderkonditionen, -sätze und -deckel (KfW 261/358/458, BEG-EM, iSFP-Bonus usw.) sowie Zins- und Energiepreisannahmen in diesem Modell entsprechen dem Stand vom 20.08.2026 und können sich seitdem geändert haben - Förderprogramme werden erfahrungsgemäß mehrfach jährlich angepasst, ausgesetzt oder neu aufgelegt. Vor jeder Nutzung die aktuellen Konditionen auf kfw.de bzw. foerderdatenbank.de gegenprüfen (siehe auch 90_Quellen für Details je Annahme). Keine Rechts-, Steuer- oder Finanzierungsberatung.</t>
  </si>
  <si>
    <t xml:space="preserve">• Alle Preise sind Bruttopreise Q2/2026 für die Region NRW/Ostwestfalen (siehe 90_Quellen). Vor einer Kaufentscheidung mit aktuellen Angeboten abgleichen.</t>
  </si>
  <si>
    <t xml:space="preserve">• KfW-Zinssätze in 01_Annahmen sind Planwerte (auf kfw.de zum Recherchezeitpunkt nur Platzhalter sichtbar) - vor Finanzierungszusage bei einer Bank verifizieren.</t>
  </si>
  <si>
    <t xml:space="preserve">• Datei enthält keine Makros (.xlsx) - läuft in Excel Windows/Mac/Online und LibreOffice.</t>
  </si>
  <si>
    <t xml:space="preserve">• Es ist bewusst KEIN Blattschutz aktiv, damit das 'Blattgruppe kopieren' beim Anlegen neuer Objekte garantiert nicht durch Schutzeinstellungen blockiert wird. Halte dich beim Ausfüllen an die Farblegende oben (nur gelbe Zellen editieren) - Formelzellen (weiß/grün) sind bewusst ungeschützt, aber nicht zum Überschreiben gedacht.</t>
  </si>
  <si>
    <t xml:space="preserve">00_Objektindex — Übersicht aller angelegten Objekte</t>
  </si>
  <si>
    <t xml:space="preserve">Trage hier für jedes angelegte Objekt nur die Objekt-ID ein (der Teil nach dem Ziffernpräfix in den kopierten Blattnamen, z.B. 10_Rahden1 -&gt; ID = Rahden1). Adresse, Kaufpreis, Wohnfläche und die Sprunglinks werden automatisch per INDIRECT()-Formel aus dem jeweiligen Objektblatt gezogen — kein Power Query nötig, kein 'Alle aktualisieren'. Leere Zeilen bleiben leer, bis eine Objekt-ID eingetragen wird.</t>
  </si>
  <si>
    <t xml:space="preserve">Objekt-ID</t>
  </si>
  <si>
    <t xml:space="preserve">Adresse</t>
  </si>
  <si>
    <t xml:space="preserve">PLZ</t>
  </si>
  <si>
    <t xml:space="preserve">Ort</t>
  </si>
  <si>
    <t xml:space="preserve">Baujahr</t>
  </si>
  <si>
    <t xml:space="preserve">Kaufpreis €</t>
  </si>
  <si>
    <t xml:space="preserve">Wohnfläche m²</t>
  </si>
  <si>
    <t xml:space="preserve">Zielstandard</t>
  </si>
  <si>
    <t xml:space="preserve">Link 10_&lt;ID&gt;</t>
  </si>
  <si>
    <t xml:space="preserve">Link 11_&lt;ID&gt;</t>
  </si>
  <si>
    <t xml:space="preserve">Link 20_Dashboard</t>
  </si>
  <si>
    <t xml:space="preserve">Beispiel_Luebbecke</t>
  </si>
  <si>
    <t xml:space="preserve">Beispiel_Rahden</t>
  </si>
  <si>
    <t xml:space="preserve">Hinweis: Objekt-ID muss exakt mit dem Blattnamen-Suffix übereinstimmen (Groß-/Kleinschreibung zählt). Bei Tippfehler zeigen die Formeln '#REF' statt echter Werte.</t>
  </si>
  <si>
    <t xml:space="preserve">01_Annahmen — globale Steuerparameter</t>
  </si>
  <si>
    <t xml:space="preserve">Parameter</t>
  </si>
  <si>
    <t xml:space="preserve">Wert</t>
  </si>
  <si>
    <t xml:space="preserve">Einheit</t>
  </si>
  <si>
    <t xml:space="preserve">Kommentar / Quelle</t>
  </si>
  <si>
    <t xml:space="preserve">2.1 Rahmendaten</t>
  </si>
  <si>
    <t xml:space="preserve">Aktuelles Jahr</t>
  </si>
  <si>
    <t xml:space="preserve">Jahr</t>
  </si>
  <si>
    <t xml:space="preserve">manuell nachführen</t>
  </si>
  <si>
    <t xml:space="preserve">Betrachtungshorizont Maßnahmen</t>
  </si>
  <si>
    <t xml:space="preserve">Jahre</t>
  </si>
  <si>
    <t xml:space="preserve">Kreditlaufzeit-Überschneidung, deine Vorgabe</t>
  </si>
  <si>
    <t xml:space="preserve">Eigenkapital</t>
  </si>
  <si>
    <t xml:space="preserve">€</t>
  </si>
  <si>
    <t xml:space="preserve">deine Vorgabe, Default 100.000€</t>
  </si>
  <si>
    <t xml:space="preserve">Eigenkapital zuerst für Nebenkosten verwenden</t>
  </si>
  <si>
    <t xml:space="preserve">Ja</t>
  </si>
  <si>
    <t xml:space="preserve">Ja/Nein</t>
  </si>
  <si>
    <t xml:space="preserve">Banken finanzieren Nebenkosten i.d.R. nicht</t>
  </si>
  <si>
    <t xml:space="preserve">Zielrabatt ggü. Neubau</t>
  </si>
  <si>
    <t xml:space="preserve">%</t>
  </si>
  <si>
    <t xml:space="preserve">deine Vorgabe</t>
  </si>
  <si>
    <t xml:space="preserve">Zu versteuerndes Haushaltsjahreseinkommen</t>
  </si>
  <si>
    <t xml:space="preserve">steuert Einkommensbonus KfW458</t>
  </si>
  <si>
    <t xml:space="preserve">Minderjährige Kinder mit Kindergeld</t>
  </si>
  <si>
    <t xml:space="preserve">Anzahl</t>
  </si>
  <si>
    <t xml:space="preserve">Familienzuschlag Einkommensgrenzen</t>
  </si>
  <si>
    <t xml:space="preserve">Objekt selbstgenutzt</t>
  </si>
  <si>
    <t xml:space="preserve">Voraussetzung Einkommensbonus/§35c/NRW-Programme</t>
  </si>
  <si>
    <t xml:space="preserve">Tragfähigkeits-Quote (Rate/Einkommen, Faustregel)</t>
  </si>
  <si>
    <t xml:space="preserve">% Bruttoeinkommen</t>
  </si>
  <si>
    <t xml:space="preserve">grobe Faustregel fürs Dashboard-Ampel, ersetzt keine Bonitätsprüfung durch die Bank</t>
  </si>
  <si>
    <t xml:space="preserve">2.2 Kaufnebenkosten (NRW)</t>
  </si>
  <si>
    <t xml:space="preserve">Grunderwerbsteuer NRW</t>
  </si>
  <si>
    <t xml:space="preserve">höchster Satz DE, kein Freibetrag Selbstnutzer 2026</t>
  </si>
  <si>
    <t xml:space="preserve">Notar + Grundbuch</t>
  </si>
  <si>
    <t xml:space="preserve">GNotKG, Spanne 1,5-2,0%</t>
  </si>
  <si>
    <t xml:space="preserve">Maklerprovision Käuferanteil</t>
  </si>
  <si>
    <t xml:space="preserve">3,0% netto, Halbteilung §656c BGB</t>
  </si>
  <si>
    <t xml:space="preserve">Bewegliches Inventar aus Kaufpreis</t>
  </si>
  <si>
    <t xml:space="preserve">mindert GrESt-Bemessungsgrundlage</t>
  </si>
  <si>
    <t xml:space="preserve">2.3 Preisdynamik</t>
  </si>
  <si>
    <t xml:space="preserve">Baupreissteigerung</t>
  </si>
  <si>
    <t xml:space="preserve">%/a</t>
  </si>
  <si>
    <t xml:space="preserve">Destatis Wohngebäude Mai 2026 ggü. Vorjahr</t>
  </si>
  <si>
    <t xml:space="preserve">Baupreissteigerung Instandhaltung</t>
  </si>
  <si>
    <t xml:space="preserve">Destatis Instandhaltung Wohngebäude</t>
  </si>
  <si>
    <t xml:space="preserve">Diskontsatz (Barwert)</t>
  </si>
  <si>
    <t xml:space="preserve">≈ Bankzins</t>
  </si>
  <si>
    <t xml:space="preserve">Regionalfaktor OWL</t>
  </si>
  <si>
    <t xml:space="preserve">Faktor</t>
  </si>
  <si>
    <t xml:space="preserve">keine BKI-Regionaltabelle beschaffbar, neutral</t>
  </si>
  <si>
    <t xml:space="preserve">Risikopuffer Unvorhergesehenes</t>
  </si>
  <si>
    <t xml:space="preserve">% Sanierungskosten</t>
  </si>
  <si>
    <t xml:space="preserve">bei Baujahr&lt;1970 auf 15% erhöhen</t>
  </si>
  <si>
    <t xml:space="preserve">Energiepreissteigerung</t>
  </si>
  <si>
    <t xml:space="preserve">konservative Annahme, historisch DE 3-5%/a</t>
  </si>
  <si>
    <t xml:space="preserve">2.4 Finanzierung</t>
  </si>
  <si>
    <t xml:space="preserve">Bankzins Beleihung &lt;70%</t>
  </si>
  <si>
    <t xml:space="preserve">% eff.</t>
  </si>
  <si>
    <t xml:space="preserve">Interhyp 08/2026, 10J Zinsbindung</t>
  </si>
  <si>
    <t xml:space="preserve">Bankzins Beleihung 80%</t>
  </si>
  <si>
    <t xml:space="preserve">Interhyp 08/2026</t>
  </si>
  <si>
    <t xml:space="preserve">Bankzins Beleihung &gt;90%</t>
  </si>
  <si>
    <t xml:space="preserve">Rabatt 'grüne' Baufinanzierung</t>
  </si>
  <si>
    <t xml:space="preserve">%-Punkte</t>
  </si>
  <si>
    <t xml:space="preserve">ab Effizienzklasse A/A+</t>
  </si>
  <si>
    <t xml:space="preserve">Zinsbindung</t>
  </si>
  <si>
    <t xml:space="preserve">Anschlusszins nach Zinsbindung</t>
  </si>
  <si>
    <t xml:space="preserve">konservative Annahme</t>
  </si>
  <si>
    <t xml:space="preserve">Gesamtlaufzeit</t>
  </si>
  <si>
    <t xml:space="preserve">Anfangstilgung Hausbank</t>
  </si>
  <si>
    <t xml:space="preserve">Empfehlung ≥2%</t>
  </si>
  <si>
    <t xml:space="preserve">KfW 261 Zinssatz</t>
  </si>
  <si>
    <t xml:space="preserve">UNVERIFIZIERT - vor Antrag bei KfW-Partner prüfen</t>
  </si>
  <si>
    <t xml:space="preserve">KfW 261 tilgungsfreie Jahre</t>
  </si>
  <si>
    <t xml:space="preserve">wählbar 1-5</t>
  </si>
  <si>
    <t xml:space="preserve">KfW 358 Ergänzungskredit Zins</t>
  </si>
  <si>
    <t xml:space="preserve">UNVERIFIZIERT</t>
  </si>
  <si>
    <t xml:space="preserve">Bereitstellungszinsen</t>
  </si>
  <si>
    <t xml:space="preserve">%/Monat</t>
  </si>
  <si>
    <t xml:space="preserve">entspricht 3% p.a.</t>
  </si>
  <si>
    <t xml:space="preserve">Bereitstellungsfreie Zeit</t>
  </si>
  <si>
    <t xml:space="preserve">Monate</t>
  </si>
  <si>
    <t xml:space="preserve">Sanierung eher 9-12 Monate</t>
  </si>
  <si>
    <t xml:space="preserve">2.5 Neubau-Referenz (nur €/m² Wohnfläche)</t>
  </si>
  <si>
    <t xml:space="preserve">Neubau Bauwerkskosten KG300+400, GEG-Standard</t>
  </si>
  <si>
    <t xml:space="preserve">€/m² WF</t>
  </si>
  <si>
    <t xml:space="preserve">Schwäbisch Hall/BKI-basiert 2026</t>
  </si>
  <si>
    <t xml:space="preserve">Mehrkosten EH-55-Standard</t>
  </si>
  <si>
    <t xml:space="preserve">geschätzt hälftig zu EH40, nicht separat belegt</t>
  </si>
  <si>
    <t xml:space="preserve">Mehrkosten EH-40-Standard</t>
  </si>
  <si>
    <t xml:space="preserve">10-20% bzw. 200-400€/m²</t>
  </si>
  <si>
    <t xml:space="preserve">Baunebenkosten KG700</t>
  </si>
  <si>
    <t xml:space="preserve">% Bauwerkskosten</t>
  </si>
  <si>
    <t xml:space="preserve">15-20%</t>
  </si>
  <si>
    <t xml:space="preserve">Außenanlagen KG500</t>
  </si>
  <si>
    <t xml:space="preserve">Hausanschlüsse Neubau</t>
  </si>
  <si>
    <t xml:space="preserve">€ pauschal</t>
  </si>
  <si>
    <t xml:space="preserve">2.6 Energie und PV</t>
  </si>
  <si>
    <t xml:space="preserve">Haushaltsstrompreis</t>
  </si>
  <si>
    <t xml:space="preserve">€/kWh</t>
  </si>
  <si>
    <t xml:space="preserve">BDEW-Mittel 2026 37,0ct; Neuvertrag 26-30ct</t>
  </si>
  <si>
    <t xml:space="preserve">Wärmepumpentarif</t>
  </si>
  <si>
    <t xml:space="preserve">§14a-Reduzierung</t>
  </si>
  <si>
    <t xml:space="preserve">Erdgas</t>
  </si>
  <si>
    <t xml:space="preserve">günstige Neuverträge</t>
  </si>
  <si>
    <t xml:space="preserve">Heizöl</t>
  </si>
  <si>
    <t xml:space="preserve">TECSON 20.08.2026</t>
  </si>
  <si>
    <t xml:space="preserve">Pellets</t>
  </si>
  <si>
    <t xml:space="preserve">DEPV 08/2026</t>
  </si>
  <si>
    <t xml:space="preserve">Fernwärme</t>
  </si>
  <si>
    <t xml:space="preserve">grober Richtwert, stark anbieterabhängig - vor Ort prüfen</t>
  </si>
  <si>
    <t xml:space="preserve">Einspeisevergütung ≤10kWp</t>
  </si>
  <si>
    <t xml:space="preserve">gültig 08/2026-01/2027</t>
  </si>
  <si>
    <t xml:space="preserve">Spez. PV-Ertrag OWL Süd</t>
  </si>
  <si>
    <t xml:space="preserve">kWh/kWp·a</t>
  </si>
  <si>
    <t xml:space="preserve">interpoliert Nord/Bund</t>
  </si>
  <si>
    <t xml:space="preserve">Faktor Ost-West-Ausrichtung</t>
  </si>
  <si>
    <t xml:space="preserve">80-90% des Südertrags</t>
  </si>
  <si>
    <t xml:space="preserve">Dachfläche je kWp</t>
  </si>
  <si>
    <t xml:space="preserve">m²/kWp</t>
  </si>
  <si>
    <t xml:space="preserve">Nutzbarer Dachanteil</t>
  </si>
  <si>
    <t xml:space="preserve">eine Seite, minus Verschattung</t>
  </si>
  <si>
    <t xml:space="preserve">Eigenverbrauch mit WP+Speicher+EMS</t>
  </si>
  <si>
    <t xml:space="preserve">Speicher je kWp</t>
  </si>
  <si>
    <t xml:space="preserve">kWh/kWp</t>
  </si>
  <si>
    <t xml:space="preserve">Faustformel</t>
  </si>
  <si>
    <t xml:space="preserve">JAZ Fußbodenheizung (35°C)</t>
  </si>
  <si>
    <t xml:space="preserve">-</t>
  </si>
  <si>
    <t xml:space="preserve">JAZ NT-Heizkörper (45°C)</t>
  </si>
  <si>
    <t xml:space="preserve">Fraunhofer-Feldmessung Altbau Ø3,4</t>
  </si>
  <si>
    <t xml:space="preserve">JAZ Bestandsheizkörper (55°C)</t>
  </si>
  <si>
    <t xml:space="preserve">BEG-Mindestwert Luft/Wasser</t>
  </si>
  <si>
    <t xml:space="preserve">Warmwasser je Person</t>
  </si>
  <si>
    <t xml:space="preserve">kWh/a</t>
  </si>
  <si>
    <t xml:space="preserve">berechneter Wert, nicht Pauschale 500kWh</t>
  </si>
  <si>
    <t xml:space="preserve">Haushaltsstrom (ohne Heizung) je Person</t>
  </si>
  <si>
    <t xml:space="preserve">Faustwert BDEW-Stromspiegel, grobe Näherung ohne Skaleneffekt</t>
  </si>
  <si>
    <t xml:space="preserve">Personen im Haushalt (Default)</t>
  </si>
  <si>
    <t xml:space="preserve">CO2-Faktor Strommix</t>
  </si>
  <si>
    <t xml:space="preserve">g/kWh</t>
  </si>
  <si>
    <t xml:space="preserve">UBA 2025 real; GEG rechnet mit 560</t>
  </si>
  <si>
    <t xml:space="preserve">CO2-Faktor Erdgas</t>
  </si>
  <si>
    <t xml:space="preserve">CO2-Faktor Heizöl</t>
  </si>
  <si>
    <t xml:space="preserve">CO2-Faktor Pellets</t>
  </si>
  <si>
    <t xml:space="preserve">CO2-Faktor Fernwärme</t>
  </si>
  <si>
    <t xml:space="preserve">grober Mittelwert Fernwärme-Mix DE, stark netzabhängig</t>
  </si>
  <si>
    <t xml:space="preserve">CO2-Gutschrift PV-Einspeisung</t>
  </si>
  <si>
    <t xml:space="preserve">Verdrängungsmix = Strommix</t>
  </si>
  <si>
    <t xml:space="preserve">2.7 Mengenformel-Faktoren</t>
  </si>
  <si>
    <t xml:space="preserve">Dachflächenfaktor Satteldach</t>
  </si>
  <si>
    <t xml:space="preserve">×Grundfläche</t>
  </si>
  <si>
    <t xml:space="preserve">1/cos35°+Überstand</t>
  </si>
  <si>
    <t xml:space="preserve">Dachflächenfaktor Flachdach</t>
  </si>
  <si>
    <t xml:space="preserve">Umfangfaktor</t>
  </si>
  <si>
    <t xml:space="preserve">×√Grundfläche</t>
  </si>
  <si>
    <t xml:space="preserve">Rechteckform 1:1,3</t>
  </si>
  <si>
    <t xml:space="preserve">Geschosshöhe</t>
  </si>
  <si>
    <t xml:space="preserve">m</t>
  </si>
  <si>
    <t xml:space="preserve">Fensterflächenanteil an Fassade</t>
  </si>
  <si>
    <t xml:space="preserve">typisch 12-18%</t>
  </si>
  <si>
    <t xml:space="preserve">Mittlere Fenstergröße</t>
  </si>
  <si>
    <t xml:space="preserve">m²/Stk</t>
  </si>
  <si>
    <t xml:space="preserve">Gerüstzuschlag auf Fassadenfläche</t>
  </si>
  <si>
    <t xml:space="preserve">Beheizte Fläche für Flächenheizung</t>
  </si>
  <si>
    <t xml:space="preserve">% WF</t>
  </si>
  <si>
    <t xml:space="preserve">Heizkörper je m² WF</t>
  </si>
  <si>
    <t xml:space="preserve">Stück/m²</t>
  </si>
  <si>
    <t xml:space="preserve">ein Heizkörper je 15m²</t>
  </si>
  <si>
    <t xml:space="preserve">Innentüren je m² WF</t>
  </si>
  <si>
    <t xml:space="preserve">Räume je m² WF (für KNX)</t>
  </si>
  <si>
    <t xml:space="preserve">2.8 Eigenleistung</t>
  </si>
  <si>
    <t xml:space="preserve">Stundensatz Eigenleistung (Bewertung)</t>
  </si>
  <si>
    <t xml:space="preserve">€/h</t>
  </si>
  <si>
    <t xml:space="preserve">nur zur Bewertung, keine Auszahlung</t>
  </si>
  <si>
    <t xml:space="preserve">Materialanteil, nicht einsparbar</t>
  </si>
  <si>
    <t xml:space="preserve">Warnschwelle Eigenleistungsanteil</t>
  </si>
  <si>
    <t xml:space="preserve">02_Massnahmenkatalog — Preise, Nutzungsdauern, Förderregeln (Q2/2026, Bruttopreise NRW/OWL)</t>
  </si>
  <si>
    <t xml:space="preserve">ID</t>
  </si>
  <si>
    <t xml:space="preserve">Kategorie</t>
  </si>
  <si>
    <t xml:space="preserve">Maßnahme</t>
  </si>
  <si>
    <t xml:space="preserve">Einheitspreis €</t>
  </si>
  <si>
    <t xml:space="preserve">Nutzungsdauer (Jahre)</t>
  </si>
  <si>
    <t xml:space="preserve">Förderfähig</t>
  </si>
  <si>
    <t xml:space="preserve">Fördersatz Grundprogramm</t>
  </si>
  <si>
    <t xml:space="preserve">Pflicht EH55EE</t>
  </si>
  <si>
    <t xml:space="preserve">Pflicht EH40EE</t>
  </si>
  <si>
    <t xml:space="preserve">Klimaneutralität</t>
  </si>
  <si>
    <t xml:space="preserve">Eigenleistung möglich</t>
  </si>
  <si>
    <t xml:space="preserve">H01</t>
  </si>
  <si>
    <t xml:space="preserve">Hülle</t>
  </si>
  <si>
    <t xml:space="preserve">Steildach komplett neu (Abriss+Aufsparrendämmung U≤0,14+Eindeckung+Klempner)</t>
  </si>
  <si>
    <t xml:space="preserve">€/m² Dachfläche</t>
  </si>
  <si>
    <t xml:space="preserve">15%+5% iSFP</t>
  </si>
  <si>
    <t xml:space="preserve">Nein</t>
  </si>
  <si>
    <t xml:space="preserve">Nur wenn Dachform=Satteldach; Schwäbisch Hall 2026 nennt 400-600€/m² für eine umfangreiche Dachsanierung, hier oberer Mittelwert wegen hoher Dämmanforderung U≤0,14 angesetzt (Recherche-Update 20.08.2026, vorher 420€/m² zu niedrig laut Nutzer-Praxistest; siehe auch reduco.ai/profirechner.de/klotz-bedachungen.de 2026: 200-350€/m² für Standard-Ausführung, Schwäbisch Hall als konservativere Bank-Quelle für 'umfangreich' bevorzugt)</t>
  </si>
  <si>
    <t xml:space="preserve">H02</t>
  </si>
  <si>
    <t xml:space="preserve">Flachdachsanierung (PVC/FPO inkl. Gefälledämmung, Abriss)</t>
  </si>
  <si>
    <t xml:space="preserve">Nur wenn Dachform=Flachdach; dachdeckernrw.org 2026</t>
  </si>
  <si>
    <t xml:space="preserve">H03</t>
  </si>
  <si>
    <t xml:space="preserve">Dachbodendämmung oberste Geschossdecke (falls kein Dachausbau)</t>
  </si>
  <si>
    <t xml:space="preserve">€/m²</t>
  </si>
  <si>
    <t xml:space="preserve">co2online 2026</t>
  </si>
  <si>
    <t xml:space="preserve">H04</t>
  </si>
  <si>
    <t xml:space="preserve">WDVS Außenwand (U≤0,20, 16cm) inkl. Gerüst+Putz</t>
  </si>
  <si>
    <t xml:space="preserve">€/m² Fassade</t>
  </si>
  <si>
    <t xml:space="preserve">co2online/Verbraucherzentrale 2026; BBSR-Neufassung 2025 setzt Nutzungsdauer &gt;50J an, konservativ 40J angesetzt</t>
  </si>
  <si>
    <t xml:space="preserve">H05</t>
  </si>
  <si>
    <t xml:space="preserve">Fenster 3-fach-Verglasung inkl. Einbau</t>
  </si>
  <si>
    <t xml:space="preserve">€/m² Fensterfläche</t>
  </si>
  <si>
    <t xml:space="preserve">my-hammer.de Preisradar 2026</t>
  </si>
  <si>
    <t xml:space="preserve">H06</t>
  </si>
  <si>
    <t xml:space="preserve">Haustür RC2/RC3 inkl. Einbau</t>
  </si>
  <si>
    <t xml:space="preserve">€/Stück</t>
  </si>
  <si>
    <t xml:space="preserve">my-hammer.de 2026</t>
  </si>
  <si>
    <t xml:space="preserve">H07</t>
  </si>
  <si>
    <t xml:space="preserve">Nebeneingangstür Stahl RC2</t>
  </si>
  <si>
    <t xml:space="preserve">H08</t>
  </si>
  <si>
    <t xml:space="preserve">Rollläden elektrisch nachrüsten</t>
  </si>
  <si>
    <t xml:space="preserve">€/Fenster</t>
  </si>
  <si>
    <t xml:space="preserve">H09</t>
  </si>
  <si>
    <t xml:space="preserve">Kellerdeckendämmung von unten</t>
  </si>
  <si>
    <t xml:space="preserve">Nur wenn unbeheizter Keller; co2online 2026</t>
  </si>
  <si>
    <t xml:space="preserve">H10</t>
  </si>
  <si>
    <t xml:space="preserve">Perimeterdämmung + Kellerabdichtung außen</t>
  </si>
  <si>
    <t xml:space="preserve">€/lfm Umfang</t>
  </si>
  <si>
    <t xml:space="preserve">Nur bei Vollkeller + Abdichtungsbedarf; daemmen-und-sanieren.de 2026</t>
  </si>
  <si>
    <t xml:space="preserve">H11</t>
  </si>
  <si>
    <t xml:space="preserve">Gerüst (Fassade+Dach, pauschal)</t>
  </si>
  <si>
    <t xml:space="preserve">geruest-preis.de 2026</t>
  </si>
  <si>
    <t xml:space="preserve">H12</t>
  </si>
  <si>
    <t xml:space="preserve">Blower-Door-Test + Wärmebrückennachweis</t>
  </si>
  <si>
    <t xml:space="preserve">Teil Fachplanung 50%</t>
  </si>
  <si>
    <t xml:space="preserve">blowerdoormr.de/renewa.de 2026</t>
  </si>
  <si>
    <t xml:space="preserve">A01</t>
  </si>
  <si>
    <t xml:space="preserve">Anlagentechnik</t>
  </si>
  <si>
    <t xml:space="preserve">Luft-Wasser-Wärmepumpe Gesamtsystem inkl. Demontage Altanlage</t>
  </si>
  <si>
    <t xml:space="preserve">€ pauschal (skaliert)</t>
  </si>
  <si>
    <t xml:space="preserve">KfW458: 30%+16%+Einkommen, Deckel 28.000€</t>
  </si>
  <si>
    <t xml:space="preserve">Referenz 22.500€ bei 130m² (co2online), linear mit Wohnfläche skaliert</t>
  </si>
  <si>
    <t xml:space="preserve">A02</t>
  </si>
  <si>
    <t xml:space="preserve">Alternativ: Sole-Wasser-WP mit Erdsonde inkl. Bohrung</t>
  </si>
  <si>
    <t xml:space="preserve">Alternative zu A01, nicht gleichzeitig ansetzen; my-hammer.de 2026</t>
  </si>
  <si>
    <t xml:space="preserve">A03</t>
  </si>
  <si>
    <t xml:space="preserve">Fußbodenheizung Nassestrich (Vollsanierung Bodenaufbau)</t>
  </si>
  <si>
    <t xml:space="preserve">A04</t>
  </si>
  <si>
    <t xml:space="preserve">Austausch Heizkörper gegen NT-Heizkörper (wenn keine FBH)</t>
  </si>
  <si>
    <t xml:space="preserve">Schwäbisch Hall 2026</t>
  </si>
  <si>
    <t xml:space="preserve">A05</t>
  </si>
  <si>
    <t xml:space="preserve">Hydraulischer Abgleich + Heizlastberechnung</t>
  </si>
  <si>
    <t xml:space="preserve">15% Heizungsoptimierung</t>
  </si>
  <si>
    <t xml:space="preserve">energie-experten.org 2026</t>
  </si>
  <si>
    <t xml:space="preserve">A06</t>
  </si>
  <si>
    <t xml:space="preserve">Zentrale Lüftungsanlage mit WRG inkl. Kanalnetz</t>
  </si>
  <si>
    <t xml:space="preserve">Schwäbisch Hall 2026, berechnet aus 16.660€/150m²</t>
  </si>
  <si>
    <t xml:space="preserve">A07</t>
  </si>
  <si>
    <t xml:space="preserve">Trinkwasserinstallation komplett neu</t>
  </si>
  <si>
    <t xml:space="preserve">Nur wenn Leitungen &gt;40 Jahre; byndl.de 2026</t>
  </si>
  <si>
    <t xml:space="preserve">A08</t>
  </si>
  <si>
    <t xml:space="preserve">Abwasserleitungen im Haus erneuern</t>
  </si>
  <si>
    <t xml:space="preserve">Nur wenn &gt;45 Jahre alt; byndl.de 2026</t>
  </si>
  <si>
    <t xml:space="preserve">E01</t>
  </si>
  <si>
    <t xml:space="preserve">Elektro/Innenausbau</t>
  </si>
  <si>
    <t xml:space="preserve">Elektroinstallation komplett neu inkl. Zählerschrank</t>
  </si>
  <si>
    <t xml:space="preserve">E02</t>
  </si>
  <si>
    <t xml:space="preserve">Nur Zählerschrank/Unterverteilung erneuern</t>
  </si>
  <si>
    <t xml:space="preserve">Alternative zu E01; my-hammer.de 2026</t>
  </si>
  <si>
    <t xml:space="preserve">E03</t>
  </si>
  <si>
    <t xml:space="preserve">Badsanierung komplett, Standard</t>
  </si>
  <si>
    <t xml:space="preserve">€/Bad</t>
  </si>
  <si>
    <t xml:space="preserve">my-hammer.de/Schwäbisch Hall 2026</t>
  </si>
  <si>
    <t xml:space="preserve">E04</t>
  </si>
  <si>
    <t xml:space="preserve">Gäste-WC</t>
  </si>
  <si>
    <t xml:space="preserve">Abgeleitet aus Bad-Kennwerten, unverifiziert</t>
  </si>
  <si>
    <t xml:space="preserve">E05</t>
  </si>
  <si>
    <t xml:space="preserve">Innenputz/Malerarbeiten</t>
  </si>
  <si>
    <t xml:space="preserve">€/m² Wandfläche</t>
  </si>
  <si>
    <t xml:space="preserve">E06</t>
  </si>
  <si>
    <t xml:space="preserve">Innentüren ersetzen</t>
  </si>
  <si>
    <t xml:space="preserve">E07</t>
  </si>
  <si>
    <t xml:space="preserve">Bodenbeläge (Mix Parkett/Fliese)</t>
  </si>
  <si>
    <t xml:space="preserve">Schwäbisch Hall 2026, gemischte Nutzungsdauer</t>
  </si>
  <si>
    <t xml:space="preserve">E08</t>
  </si>
  <si>
    <t xml:space="preserve">Treppe erneuern</t>
  </si>
  <si>
    <t xml:space="preserve">my-hammer.de 2026, nur wenn mehrgeschossig+Bedarf</t>
  </si>
  <si>
    <t xml:space="preserve">E09</t>
  </si>
  <si>
    <t xml:space="preserve">Wanddurchbruch tragend inkl. Statiker</t>
  </si>
  <si>
    <t xml:space="preserve">my-hammer.de 2026, nur bei Grundrissänderung</t>
  </si>
  <si>
    <t xml:space="preserve">E10</t>
  </si>
  <si>
    <t xml:space="preserve">Entkernung komplett (nur Vollsanierung Baujahr &lt;1960)</t>
  </si>
  <si>
    <t xml:space="preserve">dus2b.de 2026</t>
  </si>
  <si>
    <t xml:space="preserve">R01</t>
  </si>
  <si>
    <t xml:space="preserve">Risiko/Schadstoff</t>
  </si>
  <si>
    <t xml:space="preserve">Asbest-Eternitplatten Dach: Demontage+Entsorgung</t>
  </si>
  <si>
    <t xml:space="preserve">Nur wenn Baujahr&lt;1994 UND Dach=Eternit; my-hammer.de 2026</t>
  </si>
  <si>
    <t xml:space="preserve">R02</t>
  </si>
  <si>
    <t xml:space="preserve">Vinyl-Asbest-Fliesen entfernen</t>
  </si>
  <si>
    <t xml:space="preserve">Nur wenn Baujahr&lt;1994; kostencheck.de 2026</t>
  </si>
  <si>
    <t xml:space="preserve">R03</t>
  </si>
  <si>
    <t xml:space="preserve">Nachtspeicherofen entsorgen (asbestverdächtig)</t>
  </si>
  <si>
    <t xml:space="preserve">€/Gerät</t>
  </si>
  <si>
    <t xml:space="preserve">R04</t>
  </si>
  <si>
    <t xml:space="preserve">Öltank-Stilllegung + Entsorgung</t>
  </si>
  <si>
    <t xml:space="preserve">Nur wenn Ölheizung vorhanden; my-hammer.de 2026</t>
  </si>
  <si>
    <t xml:space="preserve">R05</t>
  </si>
  <si>
    <t xml:space="preserve">Horizontalsperre gegen aufsteigende Feuchte</t>
  </si>
  <si>
    <t xml:space="preserve">€/lfm Außenwand</t>
  </si>
  <si>
    <t xml:space="preserve">Nur bei Feuchteschaden Keller; vallovapor.de 2026</t>
  </si>
  <si>
    <t xml:space="preserve">R06</t>
  </si>
  <si>
    <t xml:space="preserve">Laboranalyse Asbestprobe + Dokumentation (§5a GefStoffV)</t>
  </si>
  <si>
    <t xml:space="preserve">Pflicht bei Baujahr&lt;1994 vor Bauarbeiten</t>
  </si>
  <si>
    <t xml:space="preserve">K01</t>
  </si>
  <si>
    <t xml:space="preserve">PV-Anlage</t>
  </si>
  <si>
    <t xml:space="preserve">€/kWp (gestaffelt)</t>
  </si>
  <si>
    <t xml:space="preserve">0% MwSt.</t>
  </si>
  <si>
    <t xml:space="preserve">42watt.de 2026, Staffel 1.500-&gt;950€/kWp, hier Mittelwert 10kWp-Klasse</t>
  </si>
  <si>
    <t xml:space="preserve">K02</t>
  </si>
  <si>
    <t xml:space="preserve">Batteriespeicher</t>
  </si>
  <si>
    <t xml:space="preserve">reduco.ai 2026</t>
  </si>
  <si>
    <t xml:space="preserve">K03</t>
  </si>
  <si>
    <t xml:space="preserve">Energiemanagementsystem/Wechselrichter-Aufpreis</t>
  </si>
  <si>
    <t xml:space="preserve">15%+5% (digitale Systeme)</t>
  </si>
  <si>
    <t xml:space="preserve">Schätzung, EMS-Einzelpreise nicht verifizierbar</t>
  </si>
  <si>
    <t xml:space="preserve">K04</t>
  </si>
  <si>
    <t xml:space="preserve">Notstrom-/Ersatzstromfähigkeit</t>
  </si>
  <si>
    <t xml:space="preserve">reduco.ai 2026, optional</t>
  </si>
  <si>
    <t xml:space="preserve">S01</t>
  </si>
  <si>
    <t xml:space="preserve">Smart Home</t>
  </si>
  <si>
    <t xml:space="preserve">Stufe 1 – Netzwerk-Basis (CAT7, Patchfeld, PoE-Switch, APs)</t>
  </si>
  <si>
    <t xml:space="preserve">€/Dose</t>
  </si>
  <si>
    <t xml:space="preserve">Stahlbergen.de 2026, Nachrüstung bewohnt</t>
  </si>
  <si>
    <t xml:space="preserve">S02</t>
  </si>
  <si>
    <t xml:space="preserve">Stufe 2 – KNX Basis (Licht, Rollladen, Heizungsaktorik, Server)</t>
  </si>
  <si>
    <t xml:space="preserve">EMS-Anteil ggf. 15%+5%</t>
  </si>
  <si>
    <t xml:space="preserve">smarthome-exklusiv.de 2026, untere Bandbreite</t>
  </si>
  <si>
    <t xml:space="preserve">S03</t>
  </si>
  <si>
    <t xml:space="preserve">Stufe 3 – KNX Vollausbau (Aufschlag auf Stufe 2)</t>
  </si>
  <si>
    <t xml:space="preserve">€/m² WF Aufschlag</t>
  </si>
  <si>
    <t xml:space="preserve">EMS-Anteil ggf. förderfähig</t>
  </si>
  <si>
    <t xml:space="preserve">Schätzung, nur mit S02 zusammen sinnvoll</t>
  </si>
  <si>
    <t xml:space="preserve">G01</t>
  </si>
  <si>
    <t xml:space="preserve">Außenanlagen</t>
  </si>
  <si>
    <t xml:space="preserve">Zufahrt pflastern</t>
  </si>
  <si>
    <t xml:space="preserve">G02</t>
  </si>
  <si>
    <t xml:space="preserve">Terrasse</t>
  </si>
  <si>
    <t xml:space="preserve">G03</t>
  </si>
  <si>
    <t xml:space="preserve">Zaun</t>
  </si>
  <si>
    <t xml:space="preserve">€/lfm</t>
  </si>
  <si>
    <t xml:space="preserve">G04</t>
  </si>
  <si>
    <t xml:space="preserve">Garage/Carport</t>
  </si>
  <si>
    <t xml:space="preserve">W01</t>
  </si>
  <si>
    <t xml:space="preserve">Weiche Kosten</t>
  </si>
  <si>
    <t xml:space="preserve">Energieberatung + iSFP</t>
  </si>
  <si>
    <t xml:space="preserve">50%, Deckel 650€</t>
  </si>
  <si>
    <t xml:space="preserve">BAFA/my-hammer.de 2026</t>
  </si>
  <si>
    <t xml:space="preserve">W02</t>
  </si>
  <si>
    <t xml:space="preserve">Fachplanung/Baubegleitung (EEE, Pflicht bei BEG-Antrag)</t>
  </si>
  <si>
    <t xml:space="preserve">% der Sanierungssumme</t>
  </si>
  <si>
    <t xml:space="preserve">50%, Deckel 5.000€</t>
  </si>
  <si>
    <t xml:space="preserve">3% der Hülle+Anlagentechnik-Summe, siehe Formel</t>
  </si>
  <si>
    <t xml:space="preserve">W03</t>
  </si>
  <si>
    <t xml:space="preserve">Statiker (nur bei Grundrissänderung/Dachausbau)</t>
  </si>
  <si>
    <t xml:space="preserve">W04</t>
  </si>
  <si>
    <t xml:space="preserve">Bauantrag/Genehmigung</t>
  </si>
  <si>
    <t xml:space="preserve">Schwäbisch Hall 2026, nur bei genehmigungspflichtigen Maßnahmen</t>
  </si>
  <si>
    <t xml:space="preserve">03_Foerderprogramme — Konditionen, Höchstbeträge, Wegevergleich (Stand Merkblätter 07/2026)</t>
  </si>
  <si>
    <t xml:space="preserve">4.1 Programmtabelle</t>
  </si>
  <si>
    <t xml:space="preserve">Programm</t>
  </si>
  <si>
    <t xml:space="preserve">Träger</t>
  </si>
  <si>
    <t xml:space="preserve">Gegenstand</t>
  </si>
  <si>
    <t xml:space="preserve">Satz/Höhe</t>
  </si>
  <si>
    <t xml:space="preserve">Höchstbetrag</t>
  </si>
  <si>
    <t xml:space="preserve">Voraussetzung</t>
  </si>
  <si>
    <t xml:space="preserve">KfW 261</t>
  </si>
  <si>
    <t xml:space="preserve">KfW</t>
  </si>
  <si>
    <t xml:space="preserve">Effizienzhaus-Kredit</t>
  </si>
  <si>
    <t xml:space="preserve">Tilgungszuschuss 5% (EH55EE) / 10% (EH40EE), +10%-Pkt. WPB, +15%-Pkt. Serielle San.</t>
  </si>
  <si>
    <t xml:space="preserve">Kredit 150.000€/WE</t>
  </si>
  <si>
    <t xml:space="preserve">EE-Klasse ≥65% erneuerbar ist Pflichtvoraussetzung (nicht mehr Bonus)</t>
  </si>
  <si>
    <t xml:space="preserve">BAFA BEG-EM Gebäudehülle</t>
  </si>
  <si>
    <t xml:space="preserve">BAFA</t>
  </si>
  <si>
    <t xml:space="preserve">Dämmung, Fenster, Lüftung, digitale Energiesysteme</t>
  </si>
  <si>
    <t xml:space="preserve">15% + 5% iSFP (ab 30.000€ Investition)</t>
  </si>
  <si>
    <t xml:space="preserve">30.000€ (60.000€ mit iSFP) je WE/Jahr</t>
  </si>
  <si>
    <t xml:space="preserve">Energieeffizienz-Experte, Vertrag mit aufschiebender Bedingung</t>
  </si>
  <si>
    <t xml:space="preserve">BAFA Heizungsoptimierung</t>
  </si>
  <si>
    <t xml:space="preserve">Hydraulischer Abgleich, Pumpentausch etc.</t>
  </si>
  <si>
    <t xml:space="preserve">15%</t>
  </si>
  <si>
    <t xml:space="preserve">im Hüllentopf enthalten</t>
  </si>
  <si>
    <t xml:space="preserve">Mindestinvestition 300€</t>
  </si>
  <si>
    <t xml:space="preserve">KfW 458</t>
  </si>
  <si>
    <t xml:space="preserve">Wärmepumpe/Heizungstausch</t>
  </si>
  <si>
    <t xml:space="preserve">30% Grund + 16% Klimageschwindigkeit + 0-40% Einkommen</t>
  </si>
  <si>
    <t xml:space="preserve">28.000€ 1. WE</t>
  </si>
  <si>
    <t xml:space="preserve">Austausch fossile/alte Heizung, Gesamtsatz max. 70-80%</t>
  </si>
  <si>
    <t xml:space="preserve">KfW 358/359</t>
  </si>
  <si>
    <t xml:space="preserve">Ergänzungskredit zu BEG-EM</t>
  </si>
  <si>
    <t xml:space="preserve">zinsverbilligt (358, Einkommen ≤90.000€) bzw. zinsfrei-Alt. (359)</t>
  </si>
  <si>
    <t xml:space="preserve">120.000€/WE</t>
  </si>
  <si>
    <t xml:space="preserve">nur zusätzlich zu bestehender Zuschusszusage, Zusage &lt;12 Monate alt</t>
  </si>
  <si>
    <t xml:space="preserve">BAFA Energieberatung/iSFP</t>
  </si>
  <si>
    <t xml:space="preserve">Beratungshonorar</t>
  </si>
  <si>
    <t xml:space="preserve">50%</t>
  </si>
  <si>
    <t xml:space="preserve">650€ (EFH)</t>
  </si>
  <si>
    <t xml:space="preserve">§35c EStG</t>
  </si>
  <si>
    <t xml:space="preserve">Finanzamt</t>
  </si>
  <si>
    <t xml:space="preserve">Steuerbonus (Alternative zu BEG)</t>
  </si>
  <si>
    <t xml:space="preserve">7+7+6% über 3 Jahre = 20%</t>
  </si>
  <si>
    <t xml:space="preserve">40.000€ je Objekt</t>
  </si>
  <si>
    <t xml:space="preserve">Gebäude &gt;10 Jahre; NICHT kombinierbar mit BEG-Zuschuss/-Kredit für dieselbe Maßnahme</t>
  </si>
  <si>
    <t xml:space="preserve">NRW.BANK Modernisierung</t>
  </si>
  <si>
    <t xml:space="preserve">NRW.BANK</t>
  </si>
  <si>
    <t xml:space="preserve">Darlehen einkommensabhängig</t>
  </si>
  <si>
    <t xml:space="preserve">0% Zins 5J, dann 0,5%, Tilgungsnachlass 25-50%</t>
  </si>
  <si>
    <t xml:space="preserve">5.000-220.000€</t>
  </si>
  <si>
    <t xml:space="preserve">Einkommensgrenze Gruppe A/B</t>
  </si>
  <si>
    <t xml:space="preserve">NRW.BANK.Wohneigentum</t>
  </si>
  <si>
    <t xml:space="preserve">Kauf-/Anschlussfinanzierung</t>
  </si>
  <si>
    <t xml:space="preserve">Marktzins, einkommensabhängig zugänglich</t>
  </si>
  <si>
    <t xml:space="preserve">kein Deckel</t>
  </si>
  <si>
    <t xml:space="preserve">Einkommensgrenze 75.000/100.000€ + 20.000€/Kind</t>
  </si>
  <si>
    <t xml:space="preserve">Kreis Minden-Lübbecke 'Klimaresilienz'</t>
  </si>
  <si>
    <t xml:space="preserve">Kreis</t>
  </si>
  <si>
    <t xml:space="preserve">Entsiegelung, Dach-/Fassadenbegrünung</t>
  </si>
  <si>
    <t xml:space="preserve">unbekannt (Richtlinie nicht abrufbar)</t>
  </si>
  <si>
    <t xml:space="preserve">unbekannt</t>
  </si>
  <si>
    <t xml:space="preserve">Mittelreservierung anfragen: 0571 807-26801</t>
  </si>
  <si>
    <t xml:space="preserve">4.2 Kumulierungsgrenze</t>
  </si>
  <si>
    <t xml:space="preserve">Max. 60% der Investition aus öffentlichen Mitteln (KfW-Merkblatt 261). Heizungsförderung hat eigenen Deckel 70-80% (KfW 458).</t>
  </si>
  <si>
    <t xml:space="preserve">4.3 Förderweg-Vergleich (je Objekt aus 11_Kalkulation verlinkt)</t>
  </si>
  <si>
    <t xml:space="preserve">Weg A: Effizienzhaus (KfW 261)</t>
  </si>
  <si>
    <t xml:space="preserve">Weg B: Einzelmaßnahmen (BEG-EM + KfW 458)</t>
  </si>
  <si>
    <t xml:space="preserve">Hinweis: Die eigentliche Förderweg-Berechnung für ein konkretes Objekt steht auf dem Blatt 11_&lt;ID&gt; (Abschnitt 'Förderung'), da sie objektspezifische Sanierungssummen benötigt. Hier stehen nur die Konditionen.</t>
  </si>
  <si>
    <t xml:space="preserve">04_Nutzungsdauern — Zustandsfaktoren und Referenztabelle</t>
  </si>
  <si>
    <t xml:space="preserve">Zustandsfaktor-Tabelle (verwendet in Checkliste 10_VORLAGE)</t>
  </si>
  <si>
    <t xml:space="preserve">Zustandsnote</t>
  </si>
  <si>
    <t xml:space="preserve">Zustandsfaktor</t>
  </si>
  <si>
    <t xml:space="preserve">Bedeutung</t>
  </si>
  <si>
    <t xml:space="preserve">neuwertig</t>
  </si>
  <si>
    <t xml:space="preserve">gut, altersgemäß</t>
  </si>
  <si>
    <t xml:space="preserve">mittel, Gebrauchsspuren</t>
  </si>
  <si>
    <t xml:space="preserve">schlecht, baldiger Handlungsbedarf</t>
  </si>
  <si>
    <t xml:space="preserve">Sanierungsfall, sofort</t>
  </si>
  <si>
    <t xml:space="preserve">Referenztabelle Nutzungsdauern (Dokumentation, BTE-Arbeitsblatt 2008 / VDI 2067)</t>
  </si>
  <si>
    <t xml:space="preserve">Bauteil</t>
  </si>
  <si>
    <t xml:space="preserve">Quelle</t>
  </si>
  <si>
    <t xml:space="preserve">Dacheindeckung Ziegel/Beton</t>
  </si>
  <si>
    <t xml:space="preserve">48-60</t>
  </si>
  <si>
    <t xml:space="preserve">BTE-Arbeitsblatt 2008</t>
  </si>
  <si>
    <t xml:space="preserve">Flachdachabdichtung</t>
  </si>
  <si>
    <t xml:space="preserve">20</t>
  </si>
  <si>
    <t xml:space="preserve">Fenster Kunststoff</t>
  </si>
  <si>
    <t xml:space="preserve">37</t>
  </si>
  <si>
    <t xml:space="preserve">WDVS</t>
  </si>
  <si>
    <t xml:space="preserve">35 (konservativ) bis &gt;50 (BBSR-Neufassung 2025)</t>
  </si>
  <si>
    <t xml:space="preserve">BTE 2008 / BMWSB-BBSR 2025</t>
  </si>
  <si>
    <t xml:space="preserve">Heizkessel Gas/Öl</t>
  </si>
  <si>
    <t xml:space="preserve">16-19</t>
  </si>
  <si>
    <t xml:space="preserve">Wärmepumpe</t>
  </si>
  <si>
    <t xml:space="preserve">15-20</t>
  </si>
  <si>
    <t xml:space="preserve">VDI 2067 / Praxis</t>
  </si>
  <si>
    <t xml:space="preserve">Elektroinstallation</t>
  </si>
  <si>
    <t xml:space="preserve">40-80</t>
  </si>
  <si>
    <t xml:space="preserve">ib-rauch.de</t>
  </si>
  <si>
    <t xml:space="preserve">Bad/Sanitärobjekte</t>
  </si>
  <si>
    <t xml:space="preserve">28-36</t>
  </si>
  <si>
    <t xml:space="preserve">Bodenbelag Parkett / PVC / Teppich</t>
  </si>
  <si>
    <t xml:space="preserve">44-61 / 21-28 / 6-12</t>
  </si>
  <si>
    <t xml:space="preserve">05_Energiekennwerte — Baualtersklassen, PV-Staffelpreise</t>
  </si>
  <si>
    <t xml:space="preserve">Baualtersklassen kWh/m²a (unsaniert) — genutzt wenn kein Energieausweis vorliegt</t>
  </si>
  <si>
    <t xml:space="preserve">Baujahr von</t>
  </si>
  <si>
    <t xml:space="preserve">Baujahr bis</t>
  </si>
  <si>
    <t xml:space="preserve">kWh/m²a</t>
  </si>
  <si>
    <t xml:space="preserve">Zielwerte nach Sanierung (Anhaltswerte, kein Nachweisersatz)</t>
  </si>
  <si>
    <t xml:space="preserve">EH 55 EE</t>
  </si>
  <si>
    <t xml:space="preserve">EH 40 EE</t>
  </si>
  <si>
    <t xml:space="preserve">Nur Einzelmaßnahmen</t>
  </si>
  <si>
    <t xml:space="preserve">PV-Staffelpreise (nicht linear)</t>
  </si>
  <si>
    <t xml:space="preserve">kWp ab</t>
  </si>
  <si>
    <t xml:space="preserve">€/kWp</t>
  </si>
  <si>
    <t xml:space="preserve">10_VORLAGE — Objektdaten und Sanierungs-Checkliste  [Beim Kopieren: Ziffernpräfix behalten, Rest durch Objekt-ID ersetzen]</t>
  </si>
  <si>
    <t xml:space="preserve">1. Objektstammdaten</t>
  </si>
  <si>
    <t xml:space="preserve">Musterstraße 1</t>
  </si>
  <si>
    <t xml:space="preserve">Lübbecke</t>
  </si>
  <si>
    <t xml:space="preserve">Kaufpreis (Angebot)</t>
  </si>
  <si>
    <t xml:space="preserve">Wohnfläche</t>
  </si>
  <si>
    <t xml:space="preserve">m²</t>
  </si>
  <si>
    <t xml:space="preserve">Grundstücksfläche</t>
  </si>
  <si>
    <t xml:space="preserve">Bodenrichtwert</t>
  </si>
  <si>
    <t xml:space="preserve">BORIS-NRW / GMB 2026 prüfen</t>
  </si>
  <si>
    <t xml:space="preserve">Anpassungsfaktor Grundstücksgröße</t>
  </si>
  <si>
    <t xml:space="preserve">GMB-Umrechnungskoeffizient, 400-1600m²-Gültigkeit</t>
  </si>
  <si>
    <t xml:space="preserve">Geschosse</t>
  </si>
  <si>
    <t xml:space="preserve">Keller</t>
  </si>
  <si>
    <t xml:space="preserve">Vollkeller</t>
  </si>
  <si>
    <t xml:space="preserve">Dachform</t>
  </si>
  <si>
    <t xml:space="preserve">Satteldach</t>
  </si>
  <si>
    <t xml:space="preserve">Dacheindeckung Eternit/Asbestverdacht</t>
  </si>
  <si>
    <t xml:space="preserve">Energieausweis-Wert (0 = kein Ausweis)</t>
  </si>
  <si>
    <t xml:space="preserve">Heizungsart aktuell</t>
  </si>
  <si>
    <t xml:space="preserve">Gasheizung</t>
  </si>
  <si>
    <t xml:space="preserve">Anzahl Nachtspeicheröfen</t>
  </si>
  <si>
    <t xml:space="preserve">Stück</t>
  </si>
  <si>
    <t xml:space="preserve">Feuchteschaden im Keller</t>
  </si>
  <si>
    <t xml:space="preserve">iSFP-Bonus nutzen (Energieberater beauftragt)</t>
  </si>
  <si>
    <t xml:space="preserve">steuert Deckel 30.000€/15% vs. 60.000€/20% bei BEG-EM</t>
  </si>
  <si>
    <t xml:space="preserve">Förderweg-Wahl</t>
  </si>
  <si>
    <t xml:space="preserve">Automatik (Empfehlung)</t>
  </si>
  <si>
    <t xml:space="preserve">Empfehlung wird auf 11_Kalkulation berechnet, hier überschreibbar</t>
  </si>
  <si>
    <t xml:space="preserve">Makler beteiligt</t>
  </si>
  <si>
    <t xml:space="preserve">Anzahl Bäder</t>
  </si>
  <si>
    <t xml:space="preserve">Personen im Haushalt (0=Default aus Annahmen)</t>
  </si>
  <si>
    <t xml:space="preserve">Sanierungsdauer</t>
  </si>
  <si>
    <t xml:space="preserve">Einzug erst nach Sanierung</t>
  </si>
  <si>
    <t xml:space="preserve">Miete während Sanierung</t>
  </si>
  <si>
    <t xml:space="preserve">€/Monat</t>
  </si>
  <si>
    <t xml:space="preserve">PV Zielgröße (0 = automatisch aus Dachfläche)</t>
  </si>
  <si>
    <t xml:space="preserve">kWp</t>
  </si>
  <si>
    <t xml:space="preserve">PV Ausrichtung</t>
  </si>
  <si>
    <t xml:space="preserve">Süd</t>
  </si>
  <si>
    <t xml:space="preserve">Grundstückswert (berechnet)</t>
  </si>
  <si>
    <t xml:space="preserve">2. Geometrie (automatisch berechnet, Zellen bei Bedarf mit Zahl überschreiben)</t>
  </si>
  <si>
    <t xml:space="preserve">Grundfläche</t>
  </si>
  <si>
    <t xml:space="preserve">Umfang</t>
  </si>
  <si>
    <t xml:space="preserve">lfm</t>
  </si>
  <si>
    <t xml:space="preserve">Fassadenfläche</t>
  </si>
  <si>
    <t xml:space="preserve">Fensterfläche</t>
  </si>
  <si>
    <t xml:space="preserve">Anzahl Fenster</t>
  </si>
  <si>
    <t xml:space="preserve">Dachfläche</t>
  </si>
  <si>
    <t xml:space="preserve">Anzahl Heizkörper</t>
  </si>
  <si>
    <t xml:space="preserve">Anzahl Innentüren</t>
  </si>
  <si>
    <t xml:space="preserve">Anzahl Räume</t>
  </si>
  <si>
    <t xml:space="preserve">PV nutzbare Dachfläche</t>
  </si>
  <si>
    <t xml:space="preserve">PV-Anlagengröße</t>
  </si>
  <si>
    <t xml:space="preserve">PV-Speichergröße</t>
  </si>
  <si>
    <t xml:space="preserve">kWh</t>
  </si>
  <si>
    <t xml:space="preserve">Personen im Haushalt (effektiv)</t>
  </si>
  <si>
    <t xml:space="preserve">3. Sanierungs-Checkliste (eine Zeile je Maßnahme aus 02_Massnahmenkatalog)</t>
  </si>
  <si>
    <t xml:space="preserve">Menge
automatisch</t>
  </si>
  <si>
    <t xml:space="preserve">Menge
Override</t>
  </si>
  <si>
    <t xml:space="preserve">Menge
effektiv</t>
  </si>
  <si>
    <t xml:space="preserve">Einheits-
preis €</t>
  </si>
  <si>
    <t xml:space="preserve">Kosten €</t>
  </si>
  <si>
    <t xml:space="preserve">Förder-
fähig</t>
  </si>
  <si>
    <t xml:space="preserve">Baujahr/
letzte Erneuerung</t>
  </si>
  <si>
    <t xml:space="preserve">Zustands-
note (1-5)</t>
  </si>
  <si>
    <t xml:space="preserve">Nutzungs-
dauer (J)</t>
  </si>
  <si>
    <t xml:space="preserve">Zustands-
faktor</t>
  </si>
  <si>
    <t xml:space="preserve">Restlebens-
dauer (J)</t>
  </si>
  <si>
    <t xml:space="preserve">Fälligkeits-
jahr</t>
  </si>
  <si>
    <t xml:space="preserve">Override
Zeitpunkt</t>
  </si>
  <si>
    <t xml:space="preserve">In Kalku-
lation?</t>
  </si>
  <si>
    <t xml:space="preserve">Eigenleistung
%</t>
  </si>
  <si>
    <t xml:space="preserve">Förderfähige
Kosten €</t>
  </si>
  <si>
    <t xml:space="preserve">Pflicht-Warnung</t>
  </si>
  <si>
    <t xml:space="preserve">Kommentar</t>
  </si>
  <si>
    <t xml:space="preserve">Automatik</t>
  </si>
  <si>
    <t xml:space="preserve">4. Summen (für 11_Kalkulation)</t>
  </si>
  <si>
    <t xml:space="preserve">Summe Kosten (nur In Kalkulation=JA) €</t>
  </si>
  <si>
    <t xml:space="preserve">davon förderfähig €</t>
  </si>
  <si>
    <t xml:space="preserve">GESAMT</t>
  </si>
  <si>
    <t xml:space="preserve">Eigenleistungsanteil gesamt (Warnschwelle A_EL_Warn)</t>
  </si>
  <si>
    <t xml:space="preserve">11_Kalkulation — Gesamtinvestition und Förderung  [Beim Kopieren: Ziffernpräfix behalten, Rest durch Objekt-ID ersetzen]</t>
  </si>
  <si>
    <t xml:space="preserve">Kaufnebenkosten</t>
  </si>
  <si>
    <t xml:space="preserve">+ Grunderwerbsteuer</t>
  </si>
  <si>
    <t xml:space="preserve">+ Notar/Grundbuch</t>
  </si>
  <si>
    <t xml:space="preserve">+ Maklerprovision</t>
  </si>
  <si>
    <t xml:space="preserve">→ Kaufpreis inkl. Nebenkosten</t>
  </si>
  <si>
    <t xml:space="preserve">Sanierungskosten</t>
  </si>
  <si>
    <t xml:space="preserve">Sanierungskosten Rohsumme (aus Checkliste)</t>
  </si>
  <si>
    <t xml:space="preserve">+ Risikopuffer Unvorhergesehenes</t>
  </si>
  <si>
    <t xml:space="preserve">→ Sanierungskosten gesamt inkl. Puffer</t>
  </si>
  <si>
    <t xml:space="preserve">Förderweg-Vergleich (Konditionen siehe 03_Foerderprogramme)</t>
  </si>
  <si>
    <t xml:space="preserve">Zielstandard (Anzeige)</t>
  </si>
  <si>
    <t xml:space="preserve">Weg A — Effizienzhaus (KfW 261)</t>
  </si>
  <si>
    <t xml:space="preserve">Kreditbetrag Basis (Deckel 150.000€/WE)</t>
  </si>
  <si>
    <t xml:space="preserve">Tilgungszuschuss-Satz</t>
  </si>
  <si>
    <t xml:space="preserve">Tilgungszuschuss</t>
  </si>
  <si>
    <t xml:space="preserve">Zinsvorteil (vereinfacht, nominal über Zinsbindung)</t>
  </si>
  <si>
    <t xml:space="preserve">→ Förderung Weg A gesamt</t>
  </si>
  <si>
    <t xml:space="preserve">Weg B — Einzelmaßnahmen (BEG-EM + KfW 458)</t>
  </si>
  <si>
    <t xml:space="preserve">Hülle-Topf förderfähige Kosten (ohne Heizung)</t>
  </si>
  <si>
    <t xml:space="preserve">Deckel Hülle-Topf</t>
  </si>
  <si>
    <t xml:space="preserve">Satz Hülle-Topf</t>
  </si>
  <si>
    <t xml:space="preserve">Zuschuss Hülle-Topf</t>
  </si>
  <si>
    <t xml:space="preserve">Heizungskosten förderfähig (Wärmepumpe A01/A02)</t>
  </si>
  <si>
    <t xml:space="preserve">Einkommensbonus-Satz</t>
  </si>
  <si>
    <t xml:space="preserve">Satz Heizung gesamt (gedeckelt)</t>
  </si>
  <si>
    <t xml:space="preserve">Zuschuss Heizung (KfW 458, Deckel 28.000€)</t>
  </si>
  <si>
    <t xml:space="preserve">Zuschuss Fachplanung/Baubegleitung (50%, Deckel 5.000€)</t>
  </si>
  <si>
    <t xml:space="preserve">Zuschuss Energieberatung/iSFP (50%, Deckel 650€)</t>
  </si>
  <si>
    <t xml:space="preserve">Zinsvorteil KfW 358 (vereinfacht, nominal über Zinsbindung)</t>
  </si>
  <si>
    <t xml:space="preserve">→ Förderung Weg B gesamt</t>
  </si>
  <si>
    <t xml:space="preserve">Empfehlung</t>
  </si>
  <si>
    <t xml:space="preserve">Differenz zwischen den Wegen</t>
  </si>
  <si>
    <t xml:space="preserve">Gewählter Förderweg (Override in 10_VORLAGE)</t>
  </si>
  <si>
    <t xml:space="preserve">→ Förderung gewählt (final)</t>
  </si>
  <si>
    <t xml:space="preserve">Kreditbetrag Förderkredit (für 12_Finanzierung)</t>
  </si>
  <si>
    <t xml:space="preserve">Zinssatz Förderkredit (für 12_Finanzierung)</t>
  </si>
  <si>
    <t xml:space="preserve">Gesamtinvestition</t>
  </si>
  <si>
    <t xml:space="preserve">Nettoinvestition (= Finanzierungsbedarf vor Eigenkapital)</t>
  </si>
  <si>
    <t xml:space="preserve">Cash gesamt nominal indexiert (Lebenszyklus, alle In-Kalkulation-Maßnahmen)</t>
  </si>
  <si>
    <t xml:space="preserve">Barwert Lebenszyklus (alle In-Kalkulation-Maßnahmen, auf heute abgezinst)</t>
  </si>
  <si>
    <t xml:space="preserve">Datenbasis Kuchendiagramm</t>
  </si>
  <si>
    <t xml:space="preserve">Grundstück</t>
  </si>
  <si>
    <t xml:space="preserve">Gebäude (Kaufpreis - Grundstück)</t>
  </si>
  <si>
    <t xml:space="preserve">Sanierung Hülle</t>
  </si>
  <si>
    <t xml:space="preserve">Sanierung Anlagentechnik</t>
  </si>
  <si>
    <t xml:space="preserve">Sanierung Elektro/Innenausbau</t>
  </si>
  <si>
    <t xml:space="preserve">Klimaneutralität + Smart Home</t>
  </si>
  <si>
    <t xml:space="preserve">Risiko/Schadstoff + Außenanlagen + Weiche Kosten</t>
  </si>
  <si>
    <t xml:space="preserve">Risikopuffer</t>
  </si>
  <si>
    <t xml:space="preserve">12_Finanzierung — Tranchen und Jahres-Tilgungsplan  [Beim Kopieren: Ziffernpräfix behalten, Rest durch Objekt-ID ersetzen]</t>
  </si>
  <si>
    <t xml:space="preserve">Tranchenlogik</t>
  </si>
  <si>
    <t xml:space="preserve">Nettoinvestition</t>
  </si>
  <si>
    <t xml:space="preserve">- Eigenkapital</t>
  </si>
  <si>
    <t xml:space="preserve">→ Gesamtfinanzierungsbedarf</t>
  </si>
  <si>
    <t xml:space="preserve">Tranche 1 — Förderkredit</t>
  </si>
  <si>
    <t xml:space="preserve">Kreditbetrag Tranche 1</t>
  </si>
  <si>
    <t xml:space="preserve">Zinssatz Tranche 1 (während Zinsbindung)</t>
  </si>
  <si>
    <t xml:space="preserve">Tilgungsfreie Jahre Tranche 1</t>
  </si>
  <si>
    <t xml:space="preserve">Tranche 2 — Hausbank-Annuitätendarlehen</t>
  </si>
  <si>
    <t xml:space="preserve">Kreditbetrag Tranche 2 (Restbetrag)</t>
  </si>
  <si>
    <t xml:space="preserve">Beleihungsauslauf (Näherung)</t>
  </si>
  <si>
    <t xml:space="preserve">Basiszins nach Beleihungsauslauf</t>
  </si>
  <si>
    <t xml:space="preserve">Zinssatz Tranche 2 (abzgl. Grün-Rabatt bei EH-Zielstandard)</t>
  </si>
  <si>
    <t xml:space="preserve">Kennzahlen-Kopf</t>
  </si>
  <si>
    <t xml:space="preserve">Annuität Tranche 1 p.a. (nach Tilgungsfrei-Phase)</t>
  </si>
  <si>
    <t xml:space="preserve">Annuität Tranche 2 p.a.</t>
  </si>
  <si>
    <t xml:space="preserve">Monatliche Gesamtrate (ab Ende Tilgungsfrei-Phase)</t>
  </si>
  <si>
    <t xml:space="preserve">Jahres-Tilgungsplan Tranche 1 — Förderkredit (KfW 261)</t>
  </si>
  <si>
    <t xml:space="preserve">Restschuld Start €</t>
  </si>
  <si>
    <t xml:space="preserve">Zins %</t>
  </si>
  <si>
    <t xml:space="preserve">Zins €</t>
  </si>
  <si>
    <t xml:space="preserve">Tilgung €</t>
  </si>
  <si>
    <t xml:space="preserve">Annuität €</t>
  </si>
  <si>
    <t xml:space="preserve">Restschuld Ende €</t>
  </si>
  <si>
    <t xml:space="preserve">Zinsvorteil vs. Marktzins €</t>
  </si>
  <si>
    <t xml:space="preserve">Jahres-Tilgungsplan Tranche 2 — Hausbank-Annuitätendarlehen</t>
  </si>
  <si>
    <t xml:space="preserve">Kennzahlen nach Tilgungsplan</t>
  </si>
  <si>
    <t xml:space="preserve">Restschuld Tranche 1 nach Zinsbindung (Jahr A_Zinsbindung)</t>
  </si>
  <si>
    <t xml:space="preserve">Hinweis: Annuität bleibt über die Laufzeit konstant; nur der Zins wechselt nach Zinsbindung auf A_Zins_Anschluss (konservative Annahme, siehe 01_Annahmen).</t>
  </si>
  <si>
    <t xml:space="preserve">Restschuld Tranche 2 nach Zinsbindung (Jahr A_Zinsbindung)</t>
  </si>
  <si>
    <t xml:space="preserve">→ Restschuld gesamt nach Zinsbindung (Anschlussfinanzierung nötig für)</t>
  </si>
  <si>
    <t xml:space="preserve">Gesamtzinskosten Tranche 1 über Laufzeit</t>
  </si>
  <si>
    <t xml:space="preserve">Gesamtzinskosten Tranche 2 über Laufzeit</t>
  </si>
  <si>
    <t xml:space="preserve">→ Gesamtzinskosten Finanzierung über Laufzeit</t>
  </si>
  <si>
    <t xml:space="preserve">→ Zinsvorteil kumuliert durch Förderkredit ggü. marktüblicher Finanzierung</t>
  </si>
  <si>
    <t xml:space="preserve">Effektiver Mischzins (anfänglich, gewichtet nach Kreditbetrag)</t>
  </si>
  <si>
    <t xml:space="preserve">→ Restschuld gesamt am Ende der Gesamtlaufzeit (ggf. Anschlussfinanzierung/Sondertilgung nötig)</t>
  </si>
  <si>
    <t xml:space="preserve">Wichtig: Da die Annuität nach Zinsbindungsablauf NICHT neu berechnet wird (konservative Modellannahme), kann bei einem Zinsanstieg eine Restschuld am Laufzeitende verbleiben. In der Praxis würde die Bank die Rate bei Anschlussfinanzierung anpassen, um fristgerecht zu tilgen — ein Wert &gt; 0 hier zeigt, wie groß dieser Anpassungsbedarf wäre.</t>
  </si>
  <si>
    <t xml:space="preserve">13_Bauzeit — Liquidität während der Sanierung  [Beim Kopieren: Ziffernpräfix behalten, Rest durch Objekt-ID ersetzen]</t>
  </si>
  <si>
    <t xml:space="preserve">Rahmendaten</t>
  </si>
  <si>
    <t xml:space="preserve">Sanierungsdauer (Monate)</t>
  </si>
  <si>
    <t xml:space="preserve">Sanierungskosten gesamt (Referenz)</t>
  </si>
  <si>
    <t xml:space="preserve">Gesamtkreditbetrag (Referenz)</t>
  </si>
  <si>
    <t xml:space="preserve">Monatlicher Zahlungs- und Abrufplan (12 Monate, editierbar)</t>
  </si>
  <si>
    <t xml:space="preserve">Monat</t>
  </si>
  <si>
    <t xml:space="preserve">Anteil Sanierungssumme %</t>
  </si>
  <si>
    <t xml:space="preserve">Kosten Monat €</t>
  </si>
  <si>
    <t xml:space="preserve">Kumulierte Kosten €</t>
  </si>
  <si>
    <t xml:space="preserve">Nicht abgerufener Kreditteil €</t>
  </si>
  <si>
    <t xml:space="preserve">Bereitstellungszins €</t>
  </si>
  <si>
    <t xml:space="preserve">Eigenleistung Std./Monat</t>
  </si>
  <si>
    <t xml:space="preserve">Summe / Anteil-Check</t>
  </si>
  <si>
    <t xml:space="preserve">Zusatzkosten Bauzeit (informativ, nicht in 11_Kalkulation enthalten)</t>
  </si>
  <si>
    <t xml:space="preserve">Parallelmiete gesamt</t>
  </si>
  <si>
    <t xml:space="preserve">Bereitstellungszinsen gesamt</t>
  </si>
  <si>
    <t xml:space="preserve">→ Zusatzkosten Bauzeit gesamt (zusätzlicher Liquiditätsbedarf)</t>
  </si>
  <si>
    <t xml:space="preserve">Hinweis: separat ausgewiesen, da abhängig vom Bauablauf; bei Bedarf manuell zum Eigenkapitalbedarf auf 12_Finanzierung addieren (bewusst nicht automatisch verrechnet, um eine Zirkelbeziehung mit der Kreditbetrags-Berechnung zu vermeiden).</t>
  </si>
  <si>
    <t xml:space="preserve">Eigenleistung-Terminrisiko (informativ, kein Cash-Effekt)</t>
  </si>
  <si>
    <t xml:space="preserve">Maximale Eigenleistungsstunden in einem Monat</t>
  </si>
  <si>
    <t xml:space="preserve">Terminrisiko-Hinweis</t>
  </si>
  <si>
    <t xml:space="preserve">14_Betriebskosten — Energiekosten vorher/nachher  [Beim Kopieren: Ziffernpräfix behalten, Rest durch Objekt-ID ersetzen]</t>
  </si>
  <si>
    <t xml:space="preserve">Heizungsart-Preis- und CO2-Zuordnung (automatisch aus Objektstammdaten)</t>
  </si>
  <si>
    <t xml:space="preserve">Energiepreis aktuelle Heizungsart</t>
  </si>
  <si>
    <t xml:space="preserve">CO2-Faktor aktuelle Heizungsart</t>
  </si>
  <si>
    <t xml:space="preserve">Vorher (unsaniert / Ist-Zustand)</t>
  </si>
  <si>
    <t xml:space="preserve">Energiekennwert (Ausweis oder Baualtersklasse)</t>
  </si>
  <si>
    <t xml:space="preserve">Verbrauch vorher</t>
  </si>
  <si>
    <t xml:space="preserve">Energiekosten vorher</t>
  </si>
  <si>
    <t xml:space="preserve">Nachher (nach Sanierung auf Zielstandard)</t>
  </si>
  <si>
    <t xml:space="preserve">Zielwert Heizwärmebedarf</t>
  </si>
  <si>
    <t xml:space="preserve">Heizwärmebedarf nachher</t>
  </si>
  <si>
    <t xml:space="preserve">Warmwasserbedarf</t>
  </si>
  <si>
    <t xml:space="preserve">Wärmebedarf gesamt (Heizung+WW)</t>
  </si>
  <si>
    <t xml:space="preserve">Jahresarbeitszahl Wärmepumpe (gemäß gewählter Heizflächen)</t>
  </si>
  <si>
    <t xml:space="preserve">Strombedarf Wärmepumpe</t>
  </si>
  <si>
    <t xml:space="preserve">Haushaltsstrombedarf (ohne Heizung)</t>
  </si>
  <si>
    <t xml:space="preserve">Gesamtstrombedarf Haus</t>
  </si>
  <si>
    <t xml:space="preserve">Photovoltaik-Ertrag und -Nutzung</t>
  </si>
  <si>
    <t xml:space="preserve">PV-Ertrag</t>
  </si>
  <si>
    <t xml:space="preserve">PV-Eigenverbrauch</t>
  </si>
  <si>
    <t xml:space="preserve">PV-Überschuss (Einspeisung)</t>
  </si>
  <si>
    <t xml:space="preserve">Netzbezug</t>
  </si>
  <si>
    <t xml:space="preserve">Ergebnis</t>
  </si>
  <si>
    <t xml:space="preserve">Energiekosten nachher</t>
  </si>
  <si>
    <t xml:space="preserve">→ Jährliche Ersparnis</t>
  </si>
  <si>
    <t xml:space="preserve">20-Jahres-Verlauf (mit Energiepreissteigerung, Barwert)</t>
  </si>
  <si>
    <t xml:space="preserve">Kosten vorher (nominal) €</t>
  </si>
  <si>
    <t xml:space="preserve">Kosten nachher (nominal) €</t>
  </si>
  <si>
    <t xml:space="preserve">Ersparnis nominal €</t>
  </si>
  <si>
    <t xml:space="preserve">Ersparnis Barwert €</t>
  </si>
  <si>
    <t xml:space="preserve">→ Ersparnis über 20 Jahre, Barwert kumuliert</t>
  </si>
  <si>
    <t xml:space="preserve">Ersparnis über 20 Jahre, nominal kumuliert</t>
  </si>
  <si>
    <t xml:space="preserve">15_Zielpreis — Rückwärtsrechnung Kaufpreisobergrenze  [Beim Kopieren: Ziffernpräfix behalten, Rest durch Objekt-ID ersetzen]</t>
  </si>
  <si>
    <t xml:space="preserve">Neubau-Referenzkosten (nur €/m² Wohnfläche)</t>
  </si>
  <si>
    <t xml:space="preserve">Mehrkosten je Zielstandard</t>
  </si>
  <si>
    <t xml:space="preserve">Neubaukosten Gebäude (KG300+400)</t>
  </si>
  <si>
    <t xml:space="preserve">→ Neubaukosten gesamt (inkl. Baunebenkosten, Außenanlagen, Anschlüsse)</t>
  </si>
  <si>
    <t xml:space="preserve">Zielwert gebrauchtes Gebäude (Neubau abzgl. Zielrabatt)</t>
  </si>
  <si>
    <t xml:space="preserve">Zielwert Gebäude gebraucht (Neubau × (1 - Zielrabatt))</t>
  </si>
  <si>
    <t xml:space="preserve">Rückrechnung auf Kaufpreisobergrenze</t>
  </si>
  <si>
    <t xml:space="preserve">Sanierungskosten gesamt, netto nach Förderung</t>
  </si>
  <si>
    <t xml:space="preserve">Max. Kaufpreis Gebäudeanteil</t>
  </si>
  <si>
    <t xml:space="preserve">+ Grundstückswert (Bodenrichtwert × Fläche)</t>
  </si>
  <si>
    <t xml:space="preserve">→ Max. akzeptabler Kaufpreis gesamt</t>
  </si>
  <si>
    <t xml:space="preserve">Angebotspreis (Referenz)</t>
  </si>
  <si>
    <t xml:space="preserve">→ Verhandlungsdelta (positiv = Angebot ist günstig genug)</t>
  </si>
  <si>
    <t xml:space="preserve">Grundstück wird bewusst vor dem Prozentvergleich herausgerechnet und danach wieder addiert, da es bei Kauf und fiktivem Neubau gleich teuer ist (siehe Bauplan Abschnitt 11).</t>
  </si>
  <si>
    <t xml:space="preserve">Sensitivität: Max. Kaufpreis nach Zielrabatt × Regionalfaktor (fest berechnet, kein Excel-Datatable)</t>
  </si>
  <si>
    <t xml:space="preserve">Zielrabatt \ Regionalfaktor</t>
  </si>
  <si>
    <t xml:space="preserve">Hinweis: eigenständig für jede Kombination berechnete Tabelle (bewusst kein natives Excel-Datatable, da TABLE()-Arrayformeln bei openpyxl/LibreOffice-Neuberechnung unzuverlässig sind); Ergebnis ist identisch zu einer zweidimensionalen What-If-Tabelle.</t>
  </si>
  <si>
    <t xml:space="preserve">16_CO2_Betrieb — Klimaneutralität im Betrieb  [Beim Kopieren: Ziffernpräfix behalten, Rest durch Objekt-ID ersetzen]</t>
  </si>
  <si>
    <t xml:space="preserve">CO2-Bilanz Heizung/Strom</t>
  </si>
  <si>
    <t xml:space="preserve">CO2-Emissionen vorher</t>
  </si>
  <si>
    <t xml:space="preserve">kg/a</t>
  </si>
  <si>
    <t xml:space="preserve">CO2-Emissionen Netzbezug nachher</t>
  </si>
  <si>
    <t xml:space="preserve">→ CO2-Emissionen nachher, netto</t>
  </si>
  <si>
    <t xml:space="preserve">→ CO2-Einsparung ggü. vorher</t>
  </si>
  <si>
    <t xml:space="preserve">Bilanzielle Deckung durch PV</t>
  </si>
  <si>
    <t xml:space="preserve">Bilanzielle Deckung (PV-Ertrag ÷ Gesamtstrombedarf Haus)</t>
  </si>
  <si>
    <t xml:space="preserve">Fossile Heizung bleibt im Zielzustand?</t>
  </si>
  <si>
    <t xml:space="preserve">→ Ampel: bilanzielle Klimaneutralität</t>
  </si>
  <si>
    <t xml:space="preserve">Musterstraße 12</t>
  </si>
  <si>
    <t xml:space="preserve">Demo: Fenster laut Exposé noch original, ca. 1982</t>
  </si>
  <si>
    <t xml:space="preserve">Sofort</t>
  </si>
  <si>
    <t xml:space="preserve">Demo: Gasheizung soll direkt durch Wärmepumpe ersetzt werden</t>
  </si>
  <si>
    <t xml:space="preserve">Demo: kein Nachtspeicherofen vorhanden</t>
  </si>
  <si>
    <t xml:space="preserve">Bahnhofstraße 4</t>
  </si>
  <si>
    <t xml:space="preserve">Rahden</t>
  </si>
  <si>
    <t xml:space="preserve">Teilkeller</t>
  </si>
  <si>
    <t xml:space="preserve">Walmdach</t>
  </si>
  <si>
    <t xml:space="preserve">Ölheizung</t>
  </si>
  <si>
    <t xml:space="preserve">Demo: Fassade ungedämmt laut Exposé-Fotos</t>
  </si>
  <si>
    <t xml:space="preserve">Entfällt</t>
  </si>
  <si>
    <t xml:space="preserve">Demo: nur Teilkeller vorhanden</t>
  </si>
  <si>
    <t xml:space="preserve">Demo: Baujahr &lt;1994 + Eternit-Dach laut Exposé, Asbestverdacht</t>
  </si>
  <si>
    <t xml:space="preserve">Demo: Ölheizung, Tank stilllegen</t>
  </si>
  <si>
    <t xml:space="preserve">20_Dashboard — Objektvergleich</t>
  </si>
  <si>
    <t xml:space="preserve">Diese Tabelle übernimmt die Objekt-ID-Liste automatisch aus 00_Objektindex (Spalte B) und zieht alle Kennzahlen per INDIRECT() aus den zugehörigen 11_&lt;ID&gt;/12_&lt;ID&gt;/14_&lt;ID&gt;/15_&lt;ID&gt;/16_&lt;ID&gt;-Blättern. Neues Objekt anlegen -&gt; ID auf 00_Objektindex eintragen -&gt; Zeile erscheint hier automatisch, ohne manuelles Aktualisieren.</t>
  </si>
  <si>
    <t xml:space="preserve">€/m² Kaufpreis</t>
  </si>
  <si>
    <t xml:space="preserve">Sanierungskosten netto €</t>
  </si>
  <si>
    <t xml:space="preserve">Gesamtinvestition €</t>
  </si>
  <si>
    <t xml:space="preserve">Max. Kaufpreis (Zielpreis) €</t>
  </si>
  <si>
    <t xml:space="preserve">Verhandlungsdelta €</t>
  </si>
  <si>
    <t xml:space="preserve">Monatsrate €</t>
  </si>
  <si>
    <t xml:space="preserve">Energiekosten nachher €/a</t>
  </si>
  <si>
    <t xml:space="preserve">CO2-Deckung %</t>
  </si>
  <si>
    <t xml:space="preserve">Ampel Gesamt</t>
  </si>
  <si>
    <t xml:space="preserve">90_Quellen — Nachvollziehbarkeit der Annahmen</t>
  </si>
  <si>
    <t xml:space="preserve">Eine Zeile je wichtiger/unsicherer Annahme. Ampel-Farbe der Zelle in Spalte 'Verlässlichkeit' zeigt die Belastbarkeit: grün = belegt/primär, gelb = abgeleitet/berechnet oder Sekundärquelle, rot = unverifiziert / vor Verwendung zwingend prüfen.</t>
  </si>
  <si>
    <t xml:space="preserve">Wert/Bereich</t>
  </si>
  <si>
    <t xml:space="preserve">Abrufdatum</t>
  </si>
  <si>
    <t xml:space="preserve">Verlässlichkeit</t>
  </si>
  <si>
    <t xml:space="preserve">Prüfhinweis vor Verwendung</t>
  </si>
  <si>
    <t xml:space="preserve">A_Zins_KfW261 — KfW 261 Zinssatz</t>
  </si>
  <si>
    <t xml:space="preserve">3,0% eff. (Planwert)</t>
  </si>
  <si>
    <t xml:space="preserve">kfw.de, Konditionenübersicht</t>
  </si>
  <si>
    <t xml:space="preserve">20.08.2026</t>
  </si>
  <si>
    <t xml:space="preserve">unverifiziert</t>
  </si>
  <si>
    <t xml:space="preserve">Auf kfw.de zum Recherchezeitpunkt nur Platzhalter sichtbar - vor Kreditantrag beim Finanzierungspartner den tagesaktuellen Satz verifizieren.</t>
  </si>
  <si>
    <t xml:space="preserve">A_Zins_KfW358 — KfW 358 Ergänzungskredit Zinssatz</t>
  </si>
  <si>
    <t xml:space="preserve">2,5% eff. (Planwert)</t>
  </si>
  <si>
    <t xml:space="preserve">kfw.de</t>
  </si>
  <si>
    <t xml:space="preserve">Wie A_Zins_KfW261 unverifiziert - vor Antrag prüfen.</t>
  </si>
  <si>
    <t xml:space="preserve">Worst-Performing-Building-Bonus (WPB)</t>
  </si>
  <si>
    <t xml:space="preserve">Kriterien in Modell nicht separat abgebildet</t>
  </si>
  <si>
    <t xml:space="preserve">BEG-Reform-Ankündigung 21.07.2026 vs. BAFA-Merkblatt</t>
  </si>
  <si>
    <t xml:space="preserve">Merkblatt und Reformankündigung widersprechen sich bei den Schwellenwerten - vor Antragstellung mit aktuellem Merkblatt und Energieberater abgleichen.</t>
  </si>
  <si>
    <t xml:space="preserve">iSFP-Bonus-Berechnungsweise (Obj_iSFP_JN)</t>
  </si>
  <si>
    <t xml:space="preserve">Modell rechnet mit erhöhtem Fördersatz/Deckel bei iSFP</t>
  </si>
  <si>
    <t xml:space="preserve">BAFA-Merkblatt BEG-EM</t>
  </si>
  <si>
    <t xml:space="preserve">abgeleitet/sekundär</t>
  </si>
  <si>
    <t xml:space="preserve">Unklar, ob Bonus auf die GESAMTEN förderfähigen Kosten oder nur den Betrag OBERHALB der Standard-Schwelle gewährt wird - wirtschaftlich relevanter Unterschied, vor Antragstellung klären.</t>
  </si>
  <si>
    <t xml:space="preserve">KNX-Förderfähigkeit (S01-S03 Smart Home)</t>
  </si>
  <si>
    <t xml:space="preserve">Modell behandelt Smart-Home-Maßnahmen konservativ als NICHT regulär BEG-förderfähig</t>
  </si>
  <si>
    <t xml:space="preserve">BEG-Merkblatt, technische Mindestanforderungen</t>
  </si>
  <si>
    <t xml:space="preserve">Technische Mindestanforderungen für eine etwaige Förderfähigkeit einzelner KNX-Komponenten konnten nicht abschließend recherchiert werden - im Zweifel als ungefördert kalkulieren.</t>
  </si>
  <si>
    <t xml:space="preserve">A_Regio — Regionalfaktor OWL</t>
  </si>
  <si>
    <t xml:space="preserve">1,00 (neutral)</t>
  </si>
  <si>
    <t xml:space="preserve">BKI-Baukosteninformationszentrum (keine frei zugängliche Regionaltabelle gefunden)</t>
  </si>
  <si>
    <t xml:space="preserve">Keine belastbare Quelle für einen Regionalfaktor Ostwestfalen-Lippe gefunden - Sensitivitätstabelle auf 15_Zielpreis zeigt die Bandbreite bei ±10%.</t>
  </si>
  <si>
    <t xml:space="preserve">A_GrESt — Grunderwerbsteuer-Freibetrag NRW</t>
  </si>
  <si>
    <t xml:space="preserve">kein Freibetrag für Selbstnutzer angesetzt</t>
  </si>
  <si>
    <t xml:space="preserve">Ankündigung Landesregierung NRW zu Öffnungsklausel</t>
  </si>
  <si>
    <t xml:space="preserve">Ein Freibetrag für selbstnutzende Ersterwerber wurde politisch angekündigt, Umsetzungsstatus zum Recherchezeitpunkt unklar - vor Notartermin beim Finanzamt/Notar erfragen.</t>
  </si>
  <si>
    <t xml:space="preserve">A_Zins_60/80/100 — Bankzinsen nach Beleihungsauslauf</t>
  </si>
  <si>
    <t xml:space="preserve">3,83% / 3,90% / 4,19% eff.</t>
  </si>
  <si>
    <t xml:space="preserve">Interhyp Zins-chart</t>
  </si>
  <si>
    <t xml:space="preserve">Tagesaktuelle Marktzinsen, ändern sich laufend - vor Finanzierungszusage aktuelle Konditionen bei mehreren Anbietern einholen.</t>
  </si>
  <si>
    <t xml:space="preserve">Obj_Bodenrichtwert — Bodenrichtwert je Objekt</t>
  </si>
  <si>
    <t xml:space="preserve">Beispielwert 100 €/m², objektspezifisch einzutragen</t>
  </si>
  <si>
    <t xml:space="preserve">BORIS-NRW / Gutachterausschuss (GMB)</t>
  </si>
  <si>
    <t xml:space="preserve">Für jedes reale Objekt den amtlichen Bodenrichtwert der jeweiligen Zone bei BORIS-NRW nachschlagen und den Anpassungsfaktor bei stark abweichender Grundstücksgröße prüfen.</t>
  </si>
  <si>
    <t xml:space="preserve">A_Baupreis / A_Baupreis_IH — Baupreissteigerung</t>
  </si>
  <si>
    <t xml:space="preserve">5,0% p.a. / 5,6% p.a.</t>
  </si>
  <si>
    <t xml:space="preserve">Destatis, Baupreisindex Wohngebäude, Mai 2026</t>
  </si>
  <si>
    <t xml:space="preserve">belegt/primär</t>
  </si>
  <si>
    <t xml:space="preserve">Amtliche Statistik, regelmäßig neu erhoben - bei älterem Auszug aktuellste Veröffentlichung auf destatis.de prüfen.</t>
  </si>
  <si>
    <t xml:space="preserve">A_P_Strom/Gas/Oel/Pellet — Energiepreise</t>
  </si>
  <si>
    <t xml:space="preserve">diverse, siehe 01_Annahmen</t>
  </si>
  <si>
    <t xml:space="preserve">BDEW-Strompreisanalyse / TECSON / DEPV</t>
  </si>
  <si>
    <t xml:space="preserve">Marktpreise schwanken - vor Betriebskostenkalkulation mit aktuellem eigenem oder regionalem Tarif abgleichen.</t>
  </si>
  <si>
    <t xml:space="preserve">A_P_Fernwaerme / A_CO2_Fernwaerme</t>
  </si>
  <si>
    <t xml:space="preserve">0,12 €/kWh / 180 g/kWh (grobe Richtwerte)</t>
  </si>
  <si>
    <t xml:space="preserve">keine belastbare bundesweite Quelle, Fernwärme-Konditionen sind netzbetreiberspezifisch</t>
  </si>
  <si>
    <t xml:space="preserve">Fernwärmepreise und CO2-Faktoren unterscheiden sich stark je Netzbetreiber - beim örtlichen Versorger erfragen, falls ein Objekt Fernwärme nutzt.</t>
  </si>
  <si>
    <t xml:space="preserve">A_CO2_Strom/Gas/Oel/Pellet/PV — CO2-Faktoren</t>
  </si>
  <si>
    <t xml:space="preserve">Umweltbundesamt (UBA) Strommix 2025</t>
  </si>
  <si>
    <t xml:space="preserve">UBA-Werte werden jährlich aktualisiert - bei Bedarf neueste Fassung prüfen.</t>
  </si>
  <si>
    <t xml:space="preserve">Nutzungsdauern (04_Nutzungsdauern)</t>
  </si>
  <si>
    <t xml:space="preserve">diverse, siehe Blatt</t>
  </si>
  <si>
    <t xml:space="preserve">BTE-Arbeitsblatt 2008 / VDI 2067; BBSR-Neufassung 2025 nur für WDVS bestätigt aktuell</t>
  </si>
  <si>
    <t xml:space="preserve">Für WDVS ist die BBSR-Neufassung 2025 die aktuellere Quelle; für alle anderen Positionen wurde auf das ältere BTE-Arbeitsblatt/VDI 2067 zurückgegriffen, da keine neuere Gesamttabelle gefunden wurde.</t>
  </si>
  <si>
    <t xml:space="preserve">A_HH_Strom_Person — Haushaltsstrombedarf/Person</t>
  </si>
  <si>
    <t xml:space="preserve">1.300 kWh/a (Faustwert)</t>
  </si>
  <si>
    <t xml:space="preserve">BDEW-Stromspiegel (Näherung, keine Skaleneffekt-Korrektur)</t>
  </si>
  <si>
    <t xml:space="preserve">Grobe lineare Näherung - bei großen Haushalten (&gt;4 Personen) tendenziell zu hoch, bei 1-Personen-Haushalten tendenziell zu niedrig angesetzt.</t>
  </si>
  <si>
    <t xml:space="preserve">99_Tests — Qualitätssicherung (Referenzobjekt = Default-Werte auf 10_VORLAGE)</t>
  </si>
  <si>
    <t xml:space="preserve">Referenzobjekt: die unveränderten Default-Werte auf 10_VORLAGE (Musterstraße 1, 32312 Lübbecke, Baujahr 1978, 130 m² Wohnfläche, Kaufpreis 285.000 €, Zielstandard EH 55 EE). Die Soll-Werte wurden unabhängig von Hand nachgerechnet (siehe Kommentar je Zeile). WICHTIG: Diese Tests gelten nur, solange 10_VORLAGE nicht verändert wird - für reale Objekte bitte kopierte Blätter (10_&lt;ID&gt; usw.) verwenden, niemals die VORLAGE selbst überschreiben.</t>
  </si>
  <si>
    <t xml:space="preserve">Prüfpunkt</t>
  </si>
  <si>
    <t xml:space="preserve">Soll (von Hand berechnet)</t>
  </si>
  <si>
    <t xml:space="preserve">Ist (live aus Modell)</t>
  </si>
  <si>
    <t xml:space="preserve">Differenz</t>
  </si>
  <si>
    <t xml:space="preserve">Status</t>
  </si>
  <si>
    <t xml:space="preserve">Herleitung Soll-Wert</t>
  </si>
  <si>
    <t xml:space="preserve">1. Kaufnebenkosten-Summe</t>
  </si>
  <si>
    <t xml:space="preserve">285.000×(1+0,065+0,018+0,0357) = 285.000×1,1187 = 318.829,50 € (GrESt 18.525 + Notar 5.130 + Makler 10.174,50 auf Kaufpreis 285.000 €)</t>
  </si>
  <si>
    <t xml:space="preserve">2a. Maßnahme H01 (Dach) - Restlebensdauer</t>
  </si>
  <si>
    <t xml:space="preserve">Nutzungsdauer 55J × Zustandsfaktor 0,7 (Note 3) - (2026-1978) = 38,5 - 48 = -9,5 Jahre</t>
  </si>
  <si>
    <t xml:space="preserve">2b. Maßnahme H01 (Dach) - Fälligkeitsjahr</t>
  </si>
  <si>
    <t xml:space="preserve">2026 + MAX(0; -9,5) = 2026 (bereits überfällig -&gt; sofort in Kalkulation)</t>
  </si>
  <si>
    <t xml:space="preserve">2c. Maßnahme H01 (Dach) - Kosten</t>
  </si>
  <si>
    <t xml:space="preserve">Dachfläche 84,5 m² (= Grundfläche 65 m² × Faktor 1,30 Satteldach) × 520 €/m² = 43.940 € (Preis am 20.08.2026 von 420 auf 520 €/m² angehoben - Nutzer-Praxistest ergab unrealistisch niedrige Dach-Sanierungskosten; Recherche u.a. Schwäbisch Hall 2026 nennt 400-600€/m² für eine umfangreiche Dachsanierung, siehe catalog_data.py H01-Kommentar)</t>
  </si>
  <si>
    <t xml:space="preserve">3. Förderung Weg A gesamt (Effizienzhaus KfW 261)</t>
  </si>
  <si>
    <t xml:space="preserve">Tilgungszuschuss 150.000×5% = 7.500 € + Zinsvorteil (3,90%-3,00%)×150.000×10J = 13.500 € = 21.000 € (unverändert durch H01-Preisanpassung, da Kreditbetrag Basis am 150.000€-Deckel gedeckelt ist)</t>
  </si>
  <si>
    <t xml:space="preserve">4a. Tilgungsplan Tranche 2, Jahr 1 - Zins €</t>
  </si>
  <si>
    <t xml:space="preserve">Restschuld Start 408.624,45 € (gestiegen durch höhere Sanierungssumme nach H01-Preisanpassung, siehe Test 2c: +8.450€ Rohsumme +253,50€ Fachplanung-Aufschlag [3% von Hülle+Anlagentechnik] = +8.703,50€, ×1,12 Risikopuffer = +9.748,00€ auf C13, davon -126,75€ höhere Förderung Weg B [Fachplanung-Zuschuss 50%] = netto +9.621,17€ auf die Nettoinvestition) × 3,75% (Basiszins 3,90% - Grün-Rabatt 0,15%) = 15.323,42 €</t>
  </si>
  <si>
    <t xml:space="preserve">4b. Tilgungsplan Tranche 2, Jahr 1 - Tilgung €</t>
  </si>
  <si>
    <t xml:space="preserve">Annuität 408.624,45×(3,75%+2,5%)=25.539,03 € - Zins 15.323,42 € = 10.215,61 €</t>
  </si>
  <si>
    <t xml:space="preserve">4c. Tilgungsplan Tranche 2, Jahr 1 - Restschuld Ende €</t>
  </si>
  <si>
    <t xml:space="preserve">Restschuld Start 408.624,45 € - Tilgung 10.215,61 € = 398.408,84 €</t>
  </si>
  <si>
    <t xml:space="preserve">5. Zielpreis - Max. akzeptabler Kaufpreis gesamt</t>
  </si>
  <si>
    <t xml:space="preserve">Neubau 130m²×(2.700+150)×1,00=370.500€; ×1,17 Baunebenkosten +130×270 Außenanlagen +12.000 Anschlüsse =480.585€ Neubaukosten gesamt; ×(1-20%)=384.468€ Zielwert gebraucht; -309.794,95€ Sanierung netto (gestiegen durch H01-Preisanpassung, siehe Test 4a) +75.000€ Grundstück (750m²×100€/m²) = 149.673,05 €</t>
  </si>
  <si>
    <t xml:space="preserve">→ Gesamtstatus</t>
  </si>
</sst>
</file>

<file path=xl/styles.xml><?xml version="1.0" encoding="utf-8"?>
<styleSheet xmlns="http://schemas.openxmlformats.org/spreadsheetml/2006/main">
  <numFmts count="8">
    <numFmt numFmtId="164" formatCode="General"/>
    <numFmt numFmtId="165" formatCode="#,##0&quot; €&quot;"/>
    <numFmt numFmtId="166" formatCode="0.00%"/>
    <numFmt numFmtId="167" formatCode="#,##0.00&quot; €&quot;"/>
    <numFmt numFmtId="168" formatCode="0.00"/>
    <numFmt numFmtId="169" formatCode="General"/>
    <numFmt numFmtId="170" formatCode="0"/>
    <numFmt numFmtId="171" formatCode="#,##0"/>
  </numFmts>
  <fonts count="16">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b val="true"/>
      <sz val="11"/>
      <color rgb="FF000000"/>
      <name val="Arial"/>
      <family val="0"/>
      <charset val="1"/>
    </font>
    <font>
      <sz val="10"/>
      <color rgb="FF0000FF"/>
      <name val="Arial"/>
      <family val="0"/>
      <charset val="1"/>
    </font>
    <font>
      <sz val="10"/>
      <color rgb="FF000000"/>
      <name val="Arial"/>
      <family val="0"/>
      <charset val="1"/>
    </font>
    <font>
      <b val="true"/>
      <sz val="10"/>
      <color rgb="FF000000"/>
      <name val="Arial"/>
      <family val="0"/>
      <charset val="1"/>
    </font>
    <font>
      <b val="true"/>
      <sz val="10"/>
      <color rgb="FF9C0006"/>
      <name val="Arial"/>
      <family val="0"/>
      <charset val="1"/>
    </font>
    <font>
      <i val="true"/>
      <sz val="8"/>
      <color rgb="FF666666"/>
      <name val="Arial"/>
      <family val="0"/>
      <charset val="1"/>
    </font>
    <font>
      <b val="true"/>
      <sz val="10"/>
      <color rgb="FFFFFFFF"/>
      <name val="Arial"/>
      <family val="0"/>
      <charset val="1"/>
    </font>
    <font>
      <sz val="10"/>
      <color rgb="FF006100"/>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FFFF99"/>
        <bgColor rgb="FFFFEB9C"/>
      </patternFill>
    </fill>
    <fill>
      <patternFill patternType="solid">
        <fgColor rgb="FFC6EFCE"/>
        <bgColor rgb="FFD9E1E2"/>
      </patternFill>
    </fill>
    <fill>
      <patternFill patternType="solid">
        <fgColor rgb="FFFFC7CE"/>
        <bgColor rgb="FFD9D9D9"/>
      </patternFill>
    </fill>
    <fill>
      <patternFill patternType="solid">
        <fgColor rgb="FF1F4E5F"/>
        <bgColor rgb="FF375623"/>
      </patternFill>
    </fill>
    <fill>
      <patternFill patternType="solid">
        <fgColor rgb="FFD9E1E2"/>
        <bgColor rgb="FFD9D9D9"/>
      </patternFill>
    </fill>
    <fill>
      <patternFill patternType="solid">
        <fgColor rgb="FFFFEB9C"/>
        <bgColor rgb="FFFFFF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4"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6" fontId="6" fillId="2" borderId="1" xfId="0"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70" fontId="6" fillId="2"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6100"/>
          <bgColor rgb="FF000000"/>
        </patternFill>
      </fill>
    </dxf>
    <dxf>
      <fill>
        <patternFill patternType="solid">
          <fgColor rgb="FFFFFF99"/>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9C0006"/>
          <bgColor rgb="FF000000"/>
        </patternFill>
      </fill>
    </dxf>
    <dxf>
      <fill>
        <patternFill>
          <bgColor rgb="FFC6EFCE"/>
        </patternFill>
      </fill>
    </dxf>
    <dxf>
      <fill>
        <patternFill>
          <bgColor rgb="FFFFC7CE"/>
        </patternFill>
      </fill>
    </dxf>
    <dxf>
      <fill>
        <patternFill>
          <bgColor rgb="FFFFEB9C"/>
        </patternFill>
      </fill>
    </dxf>
    <dxf>
      <fill>
        <patternFill patternType="solid">
          <fgColor rgb="FFFFC7CE"/>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AA64F"/>
      <rgbColor rgb="FF800080"/>
      <rgbColor rgb="FF4F81BD"/>
      <rgbColor rgb="FFBFBFBF"/>
      <rgbColor rgb="FF808080"/>
      <rgbColor rgb="FF93A9CE"/>
      <rgbColor rgb="FFAB4744"/>
      <rgbColor rgb="FFFFEB9C"/>
      <rgbColor rgb="FFD9E1E2"/>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B8CD97"/>
      <rgbColor rgb="FFD09493"/>
      <rgbColor rgb="FFCC99FF"/>
      <rgbColor rgb="FFFFC7CE"/>
      <rgbColor rgb="FF4672A8"/>
      <rgbColor rgb="FF33CCCC"/>
      <rgbColor rgb="FF99CC00"/>
      <rgbColor rgb="FFFFCC00"/>
      <rgbColor rgb="FFBF8F00"/>
      <rgbColor rgb="FFFF6600"/>
      <rgbColor rgb="FF725990"/>
      <rgbColor rgb="FF878787"/>
      <rgbColor rgb="FF1F4E5F"/>
      <rgbColor rgb="FF4299B0"/>
      <rgbColor rgb="FF003300"/>
      <rgbColor rgb="FF333300"/>
      <rgbColor rgb="FF993300"/>
      <rgbColor rgb="FFC0504D"/>
      <rgbColor rgb="FF66666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Gesamtkosten nach Kategorie (vor Förderung)</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11_Kalkulation!$B$52:$B$60</c:f>
              <c:strCache>
                <c:ptCount val="9"/>
                <c:pt idx="0">
                  <c:v>Grundstück</c:v>
                </c:pt>
                <c:pt idx="1">
                  <c:v>Gebäude (Kaufpreis - Grundstück)</c:v>
                </c:pt>
                <c:pt idx="2">
                  <c:v>Kaufnebenkosten</c:v>
                </c:pt>
                <c:pt idx="3">
                  <c:v>Sanierung Hülle</c:v>
                </c:pt>
                <c:pt idx="4">
                  <c:v>Sanierung Anlagentechnik</c:v>
                </c:pt>
                <c:pt idx="5">
                  <c:v>Sanierung Elektro/Innenausbau</c:v>
                </c:pt>
                <c:pt idx="6">
                  <c:v>Klimaneutralität + Smart Home</c:v>
                </c:pt>
                <c:pt idx="7">
                  <c:v>Risiko/Schadstoff + Außenanlagen + Weiche Kosten</c:v>
                </c:pt>
                <c:pt idx="8">
                  <c:v>Risikopuffer</c:v>
                </c:pt>
              </c:strCache>
            </c:strRef>
          </c:cat>
          <c:val>
            <c:numRef>
              <c:f>11_Kalkulation!$C$52:$C$60</c:f>
              <c:numCache>
                <c:formatCode>#,##0" €"</c:formatCode>
                <c:ptCount val="9"/>
                <c:pt idx="0">
                  <c:v>75000</c:v>
                </c:pt>
                <c:pt idx="1">
                  <c:v>210000</c:v>
                </c:pt>
                <c:pt idx="2">
                  <c:v>33829.5</c:v>
                </c:pt>
                <c:pt idx="3">
                  <c:v>122416.352705946</c:v>
                </c:pt>
                <c:pt idx="4">
                  <c:v>59330</c:v>
                </c:pt>
                <c:pt idx="5">
                  <c:v>103154.844032909</c:v>
                </c:pt>
                <c:pt idx="6">
                  <c:v>17068.8636363636</c:v>
                </c:pt>
                <c:pt idx="7">
                  <c:v>12602.3905811784</c:v>
                </c:pt>
                <c:pt idx="8">
                  <c:v>37748.6941147676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Monatlicher Cash-out während der Sanierung</a:t>
            </a:r>
          </a:p>
        </c:rich>
      </c:tx>
      <c:overlay val="0"/>
      <c:spPr>
        <a:noFill/>
        <a:ln w="0">
          <a:noFill/>
        </a:ln>
      </c:spPr>
    </c:title>
    <c:autoTitleDeleted val="0"/>
    <c:plotArea>
      <c:barChart>
        <c:barDir val="col"/>
        <c:grouping val="clustered"/>
        <c:varyColors val="0"/>
        <c:ser>
          <c:idx val="0"/>
          <c:order val="0"/>
          <c:tx>
            <c:strRef>
              <c:f>13_Bauzeit!D9</c:f>
              <c:strCache>
                <c:ptCount val="1"/>
                <c:pt idx="0">
                  <c:v>Kosten Monat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13_Bauzeit!$B$10:$B$21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13_Bauzeit!$D$10:$D$21</c:f>
              <c:numCache>
                <c:formatCode>#,##0" €"</c:formatCode>
                <c:ptCount val="12"/>
                <c:pt idx="0">
                  <c:v>70464.2290142329</c:v>
                </c:pt>
                <c:pt idx="1">
                  <c:v>52848.1717606747</c:v>
                </c:pt>
                <c:pt idx="2">
                  <c:v>52848.1717606747</c:v>
                </c:pt>
                <c:pt idx="3">
                  <c:v>52848.1717606747</c:v>
                </c:pt>
                <c:pt idx="4">
                  <c:v>52848.1717606747</c:v>
                </c:pt>
                <c:pt idx="5">
                  <c:v>70464.2290142329</c:v>
                </c:pt>
                <c:pt idx="6">
                  <c:v>0</c:v>
                </c:pt>
                <c:pt idx="7">
                  <c:v>0</c:v>
                </c:pt>
                <c:pt idx="8">
                  <c:v>0</c:v>
                </c:pt>
                <c:pt idx="9">
                  <c:v>0</c:v>
                </c:pt>
                <c:pt idx="10">
                  <c:v>0</c:v>
                </c:pt>
                <c:pt idx="11">
                  <c:v>0</c:v>
                </c:pt>
              </c:numCache>
            </c:numRef>
          </c:val>
        </c:ser>
        <c:gapWidth val="150"/>
        <c:overlap val="0"/>
        <c:axId val="24031720"/>
        <c:axId val="82308701"/>
      </c:barChart>
      <c:catAx>
        <c:axId val="2403172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308701"/>
        <c:crosses val="autoZero"/>
        <c:auto val="1"/>
        <c:lblAlgn val="ctr"/>
        <c:lblOffset val="100"/>
        <c:noMultiLvlLbl val="0"/>
      </c:catAx>
      <c:valAx>
        <c:axId val="823087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317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Energiekosten vorher/nachher über 20 Jahre (nominal)</a:t>
            </a:r>
          </a:p>
        </c:rich>
      </c:tx>
      <c:overlay val="0"/>
      <c:spPr>
        <a:noFill/>
        <a:ln w="0">
          <a:noFill/>
        </a:ln>
      </c:spPr>
    </c:title>
    <c:autoTitleDeleted val="0"/>
    <c:plotArea>
      <c:barChart>
        <c:barDir val="col"/>
        <c:grouping val="clustered"/>
        <c:varyColors val="0"/>
        <c:ser>
          <c:idx val="0"/>
          <c:order val="0"/>
          <c:tx>
            <c:strRef>
              <c:f>14_Betriebskosten!C33</c:f>
              <c:strCache>
                <c:ptCount val="1"/>
                <c:pt idx="0">
                  <c:v>Kosten vorher (nominal)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14_Betriebskosten!$B$34:$B$53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14_Betriebskosten!$C$34:$C$53</c:f>
              <c:numCache>
                <c:formatCode>#,##0" €"</c:formatCode>
                <c:ptCount val="20"/>
                <c:pt idx="0">
                  <c:v>2405</c:v>
                </c:pt>
                <c:pt idx="1">
                  <c:v>2477.15</c:v>
                </c:pt>
                <c:pt idx="2">
                  <c:v>2551.4645</c:v>
                </c:pt>
                <c:pt idx="3">
                  <c:v>2628.008435</c:v>
                </c:pt>
                <c:pt idx="4">
                  <c:v>2706.84868805</c:v>
                </c:pt>
                <c:pt idx="5">
                  <c:v>2788.0541486915</c:v>
                </c:pt>
                <c:pt idx="6">
                  <c:v>2871.69577315225</c:v>
                </c:pt>
                <c:pt idx="7">
                  <c:v>2957.84664634681</c:v>
                </c:pt>
                <c:pt idx="8">
                  <c:v>3046.58204573722</c:v>
                </c:pt>
                <c:pt idx="9">
                  <c:v>3137.97950710933</c:v>
                </c:pt>
                <c:pt idx="10">
                  <c:v>3232.11889232261</c:v>
                </c:pt>
                <c:pt idx="11">
                  <c:v>3329.08245909229</c:v>
                </c:pt>
                <c:pt idx="12">
                  <c:v>3428.95493286506</c:v>
                </c:pt>
                <c:pt idx="13">
                  <c:v>3531.82358085101</c:v>
                </c:pt>
                <c:pt idx="14">
                  <c:v>3637.77828827654</c:v>
                </c:pt>
                <c:pt idx="15">
                  <c:v>3746.91163692484</c:v>
                </c:pt>
                <c:pt idx="16">
                  <c:v>3859.31898603259</c:v>
                </c:pt>
                <c:pt idx="17">
                  <c:v>3975.09855561356</c:v>
                </c:pt>
                <c:pt idx="18">
                  <c:v>4094.35151228197</c:v>
                </c:pt>
                <c:pt idx="19">
                  <c:v>4217.18205765043</c:v>
                </c:pt>
              </c:numCache>
            </c:numRef>
          </c:val>
        </c:ser>
        <c:ser>
          <c:idx val="1"/>
          <c:order val="1"/>
          <c:tx>
            <c:strRef>
              <c:f>14_Betriebskosten!D33</c:f>
              <c:strCache>
                <c:ptCount val="1"/>
                <c:pt idx="0">
                  <c:v>Kosten nachher (nominal)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14_Betriebskosten!$B$34:$B$53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14_Betriebskosten!$D$34:$D$53</c:f>
              <c:numCache>
                <c:formatCode>#,##0" €"</c:formatCode>
                <c:ptCount val="20"/>
                <c:pt idx="0">
                  <c:v>152.070984848485</c:v>
                </c:pt>
                <c:pt idx="1">
                  <c:v>156.633114393939</c:v>
                </c:pt>
                <c:pt idx="2">
                  <c:v>161.332107825757</c:v>
                </c:pt>
                <c:pt idx="3">
                  <c:v>166.17207106053</c:v>
                </c:pt>
                <c:pt idx="4">
                  <c:v>171.157233192346</c:v>
                </c:pt>
                <c:pt idx="5">
                  <c:v>176.291950188117</c:v>
                </c:pt>
                <c:pt idx="6">
                  <c:v>181.58070869376</c:v>
                </c:pt>
                <c:pt idx="7">
                  <c:v>187.028129954573</c:v>
                </c:pt>
                <c:pt idx="8">
                  <c:v>192.63897385321</c:v>
                </c:pt>
                <c:pt idx="9">
                  <c:v>198.418143068806</c:v>
                </c:pt>
                <c:pt idx="10">
                  <c:v>204.370687360871</c:v>
                </c:pt>
                <c:pt idx="11">
                  <c:v>210.501807981697</c:v>
                </c:pt>
                <c:pt idx="12">
                  <c:v>216.816862221148</c:v>
                </c:pt>
                <c:pt idx="13">
                  <c:v>223.321368087782</c:v>
                </c:pt>
                <c:pt idx="14">
                  <c:v>230.021009130415</c:v>
                </c:pt>
                <c:pt idx="15">
                  <c:v>236.921639404328</c:v>
                </c:pt>
                <c:pt idx="16">
                  <c:v>244.029288586458</c:v>
                </c:pt>
                <c:pt idx="17">
                  <c:v>251.350167244051</c:v>
                </c:pt>
                <c:pt idx="18">
                  <c:v>258.890672261373</c:v>
                </c:pt>
                <c:pt idx="19">
                  <c:v>266.657392429214</c:v>
                </c:pt>
              </c:numCache>
            </c:numRef>
          </c:val>
        </c:ser>
        <c:gapWidth val="150"/>
        <c:overlap val="0"/>
        <c:axId val="17946439"/>
        <c:axId val="69683183"/>
      </c:barChart>
      <c:catAx>
        <c:axId val="179464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Jahr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83183"/>
        <c:crosses val="autoZero"/>
        <c:auto val="1"/>
        <c:lblAlgn val="ctr"/>
        <c:lblOffset val="100"/>
        <c:noMultiLvlLbl val="0"/>
      </c:catAx>
      <c:valAx>
        <c:axId val="696831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a:t>
                </a:r>
              </a:p>
            </c:rich>
          </c:tx>
          <c:overlay val="0"/>
          <c:spPr>
            <a:noFill/>
            <a:ln w="0">
              <a:noFill/>
            </a:ln>
          </c:spPr>
        </c:title>
        <c:numFmt formatCode="#,##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9464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Gesamtkosten nach Kategorie (vor Förderung)</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11_Beispiel_Luebbecke!$B$52:$B$60</c:f>
              <c:strCache>
                <c:ptCount val="9"/>
                <c:pt idx="0">
                  <c:v>Grundstück</c:v>
                </c:pt>
                <c:pt idx="1">
                  <c:v>Gebäude (Kaufpreis - Grundstück)</c:v>
                </c:pt>
                <c:pt idx="2">
                  <c:v>Kaufnebenkosten</c:v>
                </c:pt>
                <c:pt idx="3">
                  <c:v>Sanierung Hülle</c:v>
                </c:pt>
                <c:pt idx="4">
                  <c:v>Sanierung Anlagentechnik</c:v>
                </c:pt>
                <c:pt idx="5">
                  <c:v>Sanierung Elektro/Innenausbau</c:v>
                </c:pt>
                <c:pt idx="6">
                  <c:v>Klimaneutralität + Smart Home</c:v>
                </c:pt>
                <c:pt idx="7">
                  <c:v>Risiko/Schadstoff + Außenanlagen + Weiche Kosten</c:v>
                </c:pt>
                <c:pt idx="8">
                  <c:v>Risikopuffer</c:v>
                </c:pt>
              </c:strCache>
            </c:strRef>
          </c:cat>
          <c:val>
            <c:numRef>
              <c:f>11_Beispiel_Luebbecke!$C$52:$C$60</c:f>
              <c:numCache>
                <c:formatCode>#,##0" €"</c:formatCode>
                <c:ptCount val="9"/>
                <c:pt idx="0">
                  <c:v>71400</c:v>
                </c:pt>
                <c:pt idx="1">
                  <c:v>207600</c:v>
                </c:pt>
                <c:pt idx="2">
                  <c:v>33117.3</c:v>
                </c:pt>
                <c:pt idx="3">
                  <c:v>127387.156079661</c:v>
                </c:pt>
                <c:pt idx="4">
                  <c:v>62070.6153846154</c:v>
                </c:pt>
                <c:pt idx="5">
                  <c:v>106237.836391417</c:v>
                </c:pt>
                <c:pt idx="6">
                  <c:v>18240.4090909091</c:v>
                </c:pt>
                <c:pt idx="7">
                  <c:v>13153.7331439283</c:v>
                </c:pt>
                <c:pt idx="8">
                  <c:v>39250.7700108638</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Monatlicher Cash-out während der Sanierung</a:t>
            </a:r>
          </a:p>
        </c:rich>
      </c:tx>
      <c:overlay val="0"/>
      <c:spPr>
        <a:noFill/>
        <a:ln w="0">
          <a:noFill/>
        </a:ln>
      </c:spPr>
    </c:title>
    <c:autoTitleDeleted val="0"/>
    <c:plotArea>
      <c:barChart>
        <c:barDir val="col"/>
        <c:grouping val="clustered"/>
        <c:varyColors val="0"/>
        <c:ser>
          <c:idx val="0"/>
          <c:order val="0"/>
          <c:tx>
            <c:strRef>
              <c:f>13_Beispiel_Luebbecke!D9</c:f>
              <c:strCache>
                <c:ptCount val="1"/>
                <c:pt idx="0">
                  <c:v>Kosten Monat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13_Beispiel_Luebbecke!$B$10:$B$21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13_Beispiel_Luebbecke!$D$10:$D$21</c:f>
              <c:numCache>
                <c:formatCode>#,##0" €"</c:formatCode>
                <c:ptCount val="12"/>
                <c:pt idx="0">
                  <c:v>73268.104020279</c:v>
                </c:pt>
                <c:pt idx="1">
                  <c:v>54951.0780152093</c:v>
                </c:pt>
                <c:pt idx="2">
                  <c:v>54951.0780152093</c:v>
                </c:pt>
                <c:pt idx="3">
                  <c:v>54951.0780152093</c:v>
                </c:pt>
                <c:pt idx="4">
                  <c:v>54951.0780152093</c:v>
                </c:pt>
                <c:pt idx="5">
                  <c:v>73268.104020279</c:v>
                </c:pt>
                <c:pt idx="6">
                  <c:v>0</c:v>
                </c:pt>
                <c:pt idx="7">
                  <c:v>0</c:v>
                </c:pt>
                <c:pt idx="8">
                  <c:v>0</c:v>
                </c:pt>
                <c:pt idx="9">
                  <c:v>0</c:v>
                </c:pt>
                <c:pt idx="10">
                  <c:v>0</c:v>
                </c:pt>
                <c:pt idx="11">
                  <c:v>0</c:v>
                </c:pt>
              </c:numCache>
            </c:numRef>
          </c:val>
        </c:ser>
        <c:gapWidth val="150"/>
        <c:overlap val="0"/>
        <c:axId val="61063185"/>
        <c:axId val="51548362"/>
      </c:barChart>
      <c:catAx>
        <c:axId val="6106318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548362"/>
        <c:crosses val="autoZero"/>
        <c:auto val="1"/>
        <c:lblAlgn val="ctr"/>
        <c:lblOffset val="100"/>
        <c:noMultiLvlLbl val="0"/>
      </c:catAx>
      <c:valAx>
        <c:axId val="515483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06318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Energiekosten vorher/nachher über 20 Jahre (nominal)</a:t>
            </a:r>
          </a:p>
        </c:rich>
      </c:tx>
      <c:overlay val="0"/>
      <c:spPr>
        <a:noFill/>
        <a:ln w="0">
          <a:noFill/>
        </a:ln>
      </c:spPr>
    </c:title>
    <c:autoTitleDeleted val="0"/>
    <c:plotArea>
      <c:barChart>
        <c:barDir val="col"/>
        <c:grouping val="clustered"/>
        <c:varyColors val="0"/>
        <c:ser>
          <c:idx val="0"/>
          <c:order val="0"/>
          <c:tx>
            <c:strRef>
              <c:f>14_Beispiel_Luebbecke!C33</c:f>
              <c:strCache>
                <c:ptCount val="1"/>
                <c:pt idx="0">
                  <c:v>Kosten vorher (nominal)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14_Beispiel_Luebbecke!$B$34:$B$53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14_Beispiel_Luebbecke!$C$34:$C$53</c:f>
              <c:numCache>
                <c:formatCode>#,##0" €"</c:formatCode>
                <c:ptCount val="20"/>
                <c:pt idx="0">
                  <c:v>2277</c:v>
                </c:pt>
                <c:pt idx="1">
                  <c:v>2345.31</c:v>
                </c:pt>
                <c:pt idx="2">
                  <c:v>2415.6693</c:v>
                </c:pt>
                <c:pt idx="3">
                  <c:v>2488.139379</c:v>
                </c:pt>
                <c:pt idx="4">
                  <c:v>2562.78356037</c:v>
                </c:pt>
                <c:pt idx="5">
                  <c:v>2639.6670671811</c:v>
                </c:pt>
                <c:pt idx="6">
                  <c:v>2718.85707919653</c:v>
                </c:pt>
                <c:pt idx="7">
                  <c:v>2800.42279157243</c:v>
                </c:pt>
                <c:pt idx="8">
                  <c:v>2884.4354753196</c:v>
                </c:pt>
                <c:pt idx="9">
                  <c:v>2970.96853957919</c:v>
                </c:pt>
                <c:pt idx="10">
                  <c:v>3060.09759576657</c:v>
                </c:pt>
                <c:pt idx="11">
                  <c:v>3151.90052363956</c:v>
                </c:pt>
                <c:pt idx="12">
                  <c:v>3246.45753934875</c:v>
                </c:pt>
                <c:pt idx="13">
                  <c:v>3343.85126552921</c:v>
                </c:pt>
                <c:pt idx="14">
                  <c:v>3444.16680349509</c:v>
                </c:pt>
                <c:pt idx="15">
                  <c:v>3547.49180759994</c:v>
                </c:pt>
                <c:pt idx="16">
                  <c:v>3653.91656182794</c:v>
                </c:pt>
                <c:pt idx="17">
                  <c:v>3763.53405868278</c:v>
                </c:pt>
                <c:pt idx="18">
                  <c:v>3876.44008044326</c:v>
                </c:pt>
                <c:pt idx="19">
                  <c:v>3992.73328285656</c:v>
                </c:pt>
              </c:numCache>
            </c:numRef>
          </c:val>
        </c:ser>
        <c:ser>
          <c:idx val="1"/>
          <c:order val="1"/>
          <c:tx>
            <c:strRef>
              <c:f>14_Beispiel_Luebbecke!D33</c:f>
              <c:strCache>
                <c:ptCount val="1"/>
                <c:pt idx="0">
                  <c:v>Kosten nachher (nominal)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14_Beispiel_Luebbecke!$B$34:$B$53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14_Beispiel_Luebbecke!$D$34:$D$53</c:f>
              <c:numCache>
                <c:formatCode>#,##0" €"</c:formatCode>
                <c:ptCount val="20"/>
                <c:pt idx="0">
                  <c:v>93.9830454545455</c:v>
                </c:pt>
                <c:pt idx="1">
                  <c:v>96.8025368181819</c:v>
                </c:pt>
                <c:pt idx="2">
                  <c:v>99.7066129227273</c:v>
                </c:pt>
                <c:pt idx="3">
                  <c:v>102.697811310409</c:v>
                </c:pt>
                <c:pt idx="4">
                  <c:v>105.778745649721</c:v>
                </c:pt>
                <c:pt idx="5">
                  <c:v>108.952108019213</c:v>
                </c:pt>
                <c:pt idx="6">
                  <c:v>112.220671259789</c:v>
                </c:pt>
                <c:pt idx="7">
                  <c:v>115.587291397583</c:v>
                </c:pt>
                <c:pt idx="8">
                  <c:v>119.054910139511</c:v>
                </c:pt>
                <c:pt idx="9">
                  <c:v>122.626557443696</c:v>
                </c:pt>
                <c:pt idx="10">
                  <c:v>126.305354167007</c:v>
                </c:pt>
                <c:pt idx="11">
                  <c:v>130.094514792017</c:v>
                </c:pt>
                <c:pt idx="12">
                  <c:v>133.997350235778</c:v>
                </c:pt>
                <c:pt idx="13">
                  <c:v>138.017270742851</c:v>
                </c:pt>
                <c:pt idx="14">
                  <c:v>142.157788865136</c:v>
                </c:pt>
                <c:pt idx="15">
                  <c:v>146.422522531091</c:v>
                </c:pt>
                <c:pt idx="16">
                  <c:v>150.815198207023</c:v>
                </c:pt>
                <c:pt idx="17">
                  <c:v>155.339654153234</c:v>
                </c:pt>
                <c:pt idx="18">
                  <c:v>159.999843777831</c:v>
                </c:pt>
                <c:pt idx="19">
                  <c:v>164.799839091166</c:v>
                </c:pt>
              </c:numCache>
            </c:numRef>
          </c:val>
        </c:ser>
        <c:gapWidth val="150"/>
        <c:overlap val="0"/>
        <c:axId val="23046680"/>
        <c:axId val="47165428"/>
      </c:barChart>
      <c:catAx>
        <c:axId val="2304668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Jahr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165428"/>
        <c:crosses val="autoZero"/>
        <c:auto val="1"/>
        <c:lblAlgn val="ctr"/>
        <c:lblOffset val="100"/>
        <c:noMultiLvlLbl val="0"/>
      </c:catAx>
      <c:valAx>
        <c:axId val="4716542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a:t>
                </a:r>
              </a:p>
            </c:rich>
          </c:tx>
          <c:overlay val="0"/>
          <c:spPr>
            <a:noFill/>
            <a:ln w="0">
              <a:noFill/>
            </a:ln>
          </c:spPr>
        </c:title>
        <c:numFmt formatCode="#,##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0466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Gesamtkosten nach Kategorie (vor Förderung)</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11_Beispiel_Rahden!$B$52:$B$60</c:f>
              <c:strCache>
                <c:ptCount val="9"/>
                <c:pt idx="0">
                  <c:v>Grundstück</c:v>
                </c:pt>
                <c:pt idx="1">
                  <c:v>Gebäude (Kaufpreis - Grundstück)</c:v>
                </c:pt>
                <c:pt idx="2">
                  <c:v>Kaufnebenkosten</c:v>
                </c:pt>
                <c:pt idx="3">
                  <c:v>Sanierung Hülle</c:v>
                </c:pt>
                <c:pt idx="4">
                  <c:v>Sanierung Anlagentechnik</c:v>
                </c:pt>
                <c:pt idx="5">
                  <c:v>Sanierung Elektro/Innenausbau</c:v>
                </c:pt>
                <c:pt idx="6">
                  <c:v>Klimaneutralität + Smart Home</c:v>
                </c:pt>
                <c:pt idx="7">
                  <c:v>Risiko/Schadstoff + Außenanlagen + Weiche Kosten</c:v>
                </c:pt>
                <c:pt idx="8">
                  <c:v>Risikopuffer</c:v>
                </c:pt>
              </c:strCache>
            </c:strRef>
          </c:cat>
          <c:val>
            <c:numRef>
              <c:f>11_Beispiel_Rahden!$C$52:$C$60</c:f>
              <c:numCache>
                <c:formatCode>#,##0" €"</c:formatCode>
                <c:ptCount val="9"/>
                <c:pt idx="0">
                  <c:v>50150</c:v>
                </c:pt>
                <c:pt idx="1">
                  <c:v>144850</c:v>
                </c:pt>
                <c:pt idx="2">
                  <c:v>16185</c:v>
                </c:pt>
                <c:pt idx="3">
                  <c:v>92591.3117276947</c:v>
                </c:pt>
                <c:pt idx="4">
                  <c:v>55759.3846153846</c:v>
                </c:pt>
                <c:pt idx="5">
                  <c:v>79559.6408244921</c:v>
                </c:pt>
                <c:pt idx="6">
                  <c:v>26473.1818181818</c:v>
                </c:pt>
                <c:pt idx="7">
                  <c:v>19124.5208902924</c:v>
                </c:pt>
                <c:pt idx="8">
                  <c:v>32820.9647851255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Monatlicher Cash-out während der Sanierung</a:t>
            </a:r>
          </a:p>
        </c:rich>
      </c:tx>
      <c:overlay val="0"/>
      <c:spPr>
        <a:noFill/>
        <a:ln w="0">
          <a:noFill/>
        </a:ln>
      </c:spPr>
    </c:title>
    <c:autoTitleDeleted val="0"/>
    <c:plotArea>
      <c:barChart>
        <c:barDir val="col"/>
        <c:grouping val="clustered"/>
        <c:varyColors val="0"/>
        <c:ser>
          <c:idx val="0"/>
          <c:order val="0"/>
          <c:tx>
            <c:strRef>
              <c:f>13_Beispiel_Rahden!D9</c:f>
              <c:strCache>
                <c:ptCount val="1"/>
                <c:pt idx="0">
                  <c:v>Kosten Monat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13_Beispiel_Rahden!$B$10:$B$21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13_Beispiel_Rahden!$D$10:$D$21</c:f>
              <c:numCache>
                <c:formatCode>#,##0" €"</c:formatCode>
                <c:ptCount val="12"/>
                <c:pt idx="0">
                  <c:v>61265.8009322342</c:v>
                </c:pt>
                <c:pt idx="1">
                  <c:v>45949.3506991757</c:v>
                </c:pt>
                <c:pt idx="2">
                  <c:v>45949.3506991757</c:v>
                </c:pt>
                <c:pt idx="3">
                  <c:v>45949.3506991757</c:v>
                </c:pt>
                <c:pt idx="4">
                  <c:v>45949.3506991757</c:v>
                </c:pt>
                <c:pt idx="5">
                  <c:v>61265.8009322342</c:v>
                </c:pt>
                <c:pt idx="6">
                  <c:v>0</c:v>
                </c:pt>
                <c:pt idx="7">
                  <c:v>0</c:v>
                </c:pt>
                <c:pt idx="8">
                  <c:v>0</c:v>
                </c:pt>
                <c:pt idx="9">
                  <c:v>0</c:v>
                </c:pt>
                <c:pt idx="10">
                  <c:v>0</c:v>
                </c:pt>
                <c:pt idx="11">
                  <c:v>0</c:v>
                </c:pt>
              </c:numCache>
            </c:numRef>
          </c:val>
        </c:ser>
        <c:gapWidth val="150"/>
        <c:overlap val="0"/>
        <c:axId val="78042335"/>
        <c:axId val="41110367"/>
      </c:barChart>
      <c:catAx>
        <c:axId val="780423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110367"/>
        <c:crosses val="autoZero"/>
        <c:auto val="1"/>
        <c:lblAlgn val="ctr"/>
        <c:lblOffset val="100"/>
        <c:noMultiLvlLbl val="0"/>
      </c:catAx>
      <c:valAx>
        <c:axId val="4111036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0423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Energiekosten vorher/nachher über 20 Jahre (nominal)</a:t>
            </a:r>
          </a:p>
        </c:rich>
      </c:tx>
      <c:overlay val="0"/>
      <c:spPr>
        <a:noFill/>
        <a:ln w="0">
          <a:noFill/>
        </a:ln>
      </c:spPr>
    </c:title>
    <c:autoTitleDeleted val="0"/>
    <c:plotArea>
      <c:barChart>
        <c:barDir val="col"/>
        <c:grouping val="clustered"/>
        <c:varyColors val="0"/>
        <c:ser>
          <c:idx val="0"/>
          <c:order val="0"/>
          <c:tx>
            <c:strRef>
              <c:f>14_Beispiel_Rahden!C33</c:f>
              <c:strCache>
                <c:ptCount val="1"/>
                <c:pt idx="0">
                  <c:v>Kosten vorher (nominal)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14_Beispiel_Rahden!$B$34:$B$53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14_Beispiel_Rahden!$C$34:$C$53</c:f>
              <c:numCache>
                <c:formatCode>#,##0" €"</c:formatCode>
                <c:ptCount val="20"/>
                <c:pt idx="0">
                  <c:v>3561.18</c:v>
                </c:pt>
                <c:pt idx="1">
                  <c:v>3668.0154</c:v>
                </c:pt>
                <c:pt idx="2">
                  <c:v>3778.055862</c:v>
                </c:pt>
                <c:pt idx="3">
                  <c:v>3891.39753786</c:v>
                </c:pt>
                <c:pt idx="4">
                  <c:v>4008.1394639958</c:v>
                </c:pt>
                <c:pt idx="5">
                  <c:v>4128.38364791567</c:v>
                </c:pt>
                <c:pt idx="6">
                  <c:v>4252.23515735315</c:v>
                </c:pt>
                <c:pt idx="7">
                  <c:v>4379.80221207374</c:v>
                </c:pt>
                <c:pt idx="8">
                  <c:v>4511.19627843595</c:v>
                </c:pt>
                <c:pt idx="9">
                  <c:v>4646.53216678903</c:v>
                </c:pt>
                <c:pt idx="10">
                  <c:v>4785.9281317927</c:v>
                </c:pt>
                <c:pt idx="11">
                  <c:v>4929.50597574648</c:v>
                </c:pt>
                <c:pt idx="12">
                  <c:v>5077.39115501888</c:v>
                </c:pt>
                <c:pt idx="13">
                  <c:v>5229.71288966944</c:v>
                </c:pt>
                <c:pt idx="14">
                  <c:v>5386.60427635953</c:v>
                </c:pt>
                <c:pt idx="15">
                  <c:v>5548.20240465031</c:v>
                </c:pt>
                <c:pt idx="16">
                  <c:v>5714.64847678982</c:v>
                </c:pt>
                <c:pt idx="17">
                  <c:v>5886.08793109352</c:v>
                </c:pt>
                <c:pt idx="18">
                  <c:v>6062.67056902632</c:v>
                </c:pt>
                <c:pt idx="19">
                  <c:v>6244.55068609711</c:v>
                </c:pt>
              </c:numCache>
            </c:numRef>
          </c:val>
        </c:ser>
        <c:ser>
          <c:idx val="1"/>
          <c:order val="1"/>
          <c:tx>
            <c:strRef>
              <c:f>14_Beispiel_Rahden!D33</c:f>
              <c:strCache>
                <c:ptCount val="1"/>
                <c:pt idx="0">
                  <c:v>Kosten nachher (nominal)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14_Beispiel_Rahden!$B$34:$B$53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14_Beispiel_Rahden!$D$34:$D$53</c:f>
              <c:numCache>
                <c:formatCode>#,##0" €"</c:formatCode>
                <c:ptCount val="20"/>
                <c:pt idx="0">
                  <c:v>-619.554444444445</c:v>
                </c:pt>
                <c:pt idx="1">
                  <c:v>-638.141077777778</c:v>
                </c:pt>
                <c:pt idx="2">
                  <c:v>-657.285310111111</c:v>
                </c:pt>
                <c:pt idx="3">
                  <c:v>-677.003869414445</c:v>
                </c:pt>
                <c:pt idx="4">
                  <c:v>-697.313985496878</c:v>
                </c:pt>
                <c:pt idx="5">
                  <c:v>-718.233405061784</c:v>
                </c:pt>
                <c:pt idx="6">
                  <c:v>-739.780407213638</c:v>
                </c:pt>
                <c:pt idx="7">
                  <c:v>-761.973819430047</c:v>
                </c:pt>
                <c:pt idx="8">
                  <c:v>-784.833034012948</c:v>
                </c:pt>
                <c:pt idx="9">
                  <c:v>-808.378025033337</c:v>
                </c:pt>
                <c:pt idx="10">
                  <c:v>-832.629365784337</c:v>
                </c:pt>
                <c:pt idx="11">
                  <c:v>-857.608246757867</c:v>
                </c:pt>
                <c:pt idx="12">
                  <c:v>-883.336494160603</c:v>
                </c:pt>
                <c:pt idx="13">
                  <c:v>-909.836588985421</c:v>
                </c:pt>
                <c:pt idx="14">
                  <c:v>-937.131686654984</c:v>
                </c:pt>
                <c:pt idx="15">
                  <c:v>-965.245637254633</c:v>
                </c:pt>
                <c:pt idx="16">
                  <c:v>-994.203006372273</c:v>
                </c:pt>
                <c:pt idx="17">
                  <c:v>-1024.02909656344</c:v>
                </c:pt>
                <c:pt idx="18">
                  <c:v>-1054.74996946034</c:v>
                </c:pt>
                <c:pt idx="19">
                  <c:v>-1086.39246854415</c:v>
                </c:pt>
              </c:numCache>
            </c:numRef>
          </c:val>
        </c:ser>
        <c:gapWidth val="150"/>
        <c:overlap val="0"/>
        <c:axId val="42717595"/>
        <c:axId val="20305343"/>
      </c:barChart>
      <c:catAx>
        <c:axId val="427175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Jahr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305343"/>
        <c:crosses val="autoZero"/>
        <c:auto val="1"/>
        <c:lblAlgn val="ctr"/>
        <c:lblOffset val="100"/>
        <c:noMultiLvlLbl val="0"/>
      </c:catAx>
      <c:valAx>
        <c:axId val="203053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a:t>
                </a:r>
              </a:p>
            </c:rich>
          </c:tx>
          <c:overlay val="0"/>
          <c:spPr>
            <a:noFill/>
            <a:ln w="0">
              <a:noFill/>
            </a:ln>
          </c:spPr>
        </c:title>
        <c:numFmt formatCode="#,##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7175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
</Relationships>
</file>

<file path=xl/drawings/_rels/drawing4.xml.rels><?xml version="1.0" encoding="UTF-8"?>
<Relationships xmlns="http://schemas.openxmlformats.org/package/2006/relationships"><Relationship Id="rId1" Type="http://schemas.openxmlformats.org/officeDocument/2006/relationships/chart" Target="../charts/chart2.xml"/>
</Relationships>
</file>

<file path=xl/drawings/_rels/drawing5.xml.rels><?xml version="1.0" encoding="UTF-8"?>
<Relationships xmlns="http://schemas.openxmlformats.org/package/2006/relationships"><Relationship Id="rId1" Type="http://schemas.openxmlformats.org/officeDocument/2006/relationships/chart" Target="../charts/chart3.xml"/>
</Relationships>
</file>

<file path=xl/drawings/_rels/drawing7.xml.rels><?xml version="1.0" encoding="UTF-8"?>
<Relationships xmlns="http://schemas.openxmlformats.org/package/2006/relationships"><Relationship Id="rId1" Type="http://schemas.openxmlformats.org/officeDocument/2006/relationships/chart" Target="../charts/chart4.xml"/>
</Relationships>
</file>

<file path=xl/drawings/_rels/drawing8.xml.rels><?xml version="1.0" encoding="UTF-8"?>
<Relationships xmlns="http://schemas.openxmlformats.org/package/2006/relationships"><Relationship Id="rId1" Type="http://schemas.openxmlformats.org/officeDocument/2006/relationships/chart" Target="../charts/chart5.xml"/>
</Relationships>
</file>

<file path=xl/drawings/_rels/drawing9.xml.rels><?xml version="1.0" encoding="UTF-8"?>
<Relationships xmlns="http://schemas.openxmlformats.org/package/2006/relationships"><Relationship Id="rId1" Type="http://schemas.openxmlformats.org/officeDocument/2006/relationships/chart" Target="../charts/chart6.xml"/>
</Relationships>
</file>

<file path=xl/drawings/_rels/drawing11.xml.rels><?xml version="1.0" encoding="UTF-8"?>
<Relationships xmlns="http://schemas.openxmlformats.org/package/2006/relationships"><Relationship Id="rId1" Type="http://schemas.openxmlformats.org/officeDocument/2006/relationships/chart" Target="../charts/chart7.xml"/>
</Relationships>
</file>

<file path=xl/drawings/_rels/drawing12.xml.rels><?xml version="1.0" encoding="UTF-8"?>
<Relationships xmlns="http://schemas.openxmlformats.org/package/2006/relationships"><Relationship Id="rId1" Type="http://schemas.openxmlformats.org/officeDocument/2006/relationships/chart" Target="../charts/chart8.xml"/>
</Relationships>
</file>

<file path=xl/drawings/_rels/drawing13.xml.rels><?xml version="1.0" encoding="UTF-8"?>
<Relationships xmlns="http://schemas.openxmlformats.org/package/2006/relationships"><Relationship Id="rId1"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50</xdr:row>
      <xdr:rowOff>160920</xdr:rowOff>
    </xdr:from>
    <xdr:to>
      <xdr:col>14</xdr:col>
      <xdr:colOff>256320</xdr:colOff>
      <xdr:row>69</xdr:row>
      <xdr:rowOff>141120</xdr:rowOff>
    </xdr:to>
    <xdr:graphicFrame>
      <xdr:nvGraphicFramePr>
        <xdr:cNvPr id="0" name="Chart 1"/>
        <xdr:cNvGraphicFramePr/>
      </xdr:nvGraphicFramePr>
      <xdr:xfrm>
        <a:off x="6438960" y="971568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8</xdr:row>
      <xdr:rowOff>160920</xdr:rowOff>
    </xdr:from>
    <xdr:to>
      <xdr:col>18</xdr:col>
      <xdr:colOff>255960</xdr:colOff>
      <xdr:row>22</xdr:row>
      <xdr:rowOff>118800</xdr:rowOff>
    </xdr:to>
    <xdr:graphicFrame>
      <xdr:nvGraphicFramePr>
        <xdr:cNvPr id="1" name="Chart 1"/>
        <xdr:cNvGraphicFramePr/>
      </xdr:nvGraphicFramePr>
      <xdr:xfrm>
        <a:off x="9633600" y="1714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32</xdr:row>
      <xdr:rowOff>160920</xdr:rowOff>
    </xdr:from>
    <xdr:to>
      <xdr:col>17</xdr:col>
      <xdr:colOff>364320</xdr:colOff>
      <xdr:row>49</xdr:row>
      <xdr:rowOff>49680</xdr:rowOff>
    </xdr:to>
    <xdr:graphicFrame>
      <xdr:nvGraphicFramePr>
        <xdr:cNvPr id="2" name="Chart 1"/>
        <xdr:cNvGraphicFramePr/>
      </xdr:nvGraphicFramePr>
      <xdr:xfrm>
        <a:off x="8505720" y="6286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50</xdr:row>
      <xdr:rowOff>160920</xdr:rowOff>
    </xdr:from>
    <xdr:to>
      <xdr:col>14</xdr:col>
      <xdr:colOff>256320</xdr:colOff>
      <xdr:row>69</xdr:row>
      <xdr:rowOff>141120</xdr:rowOff>
    </xdr:to>
    <xdr:graphicFrame>
      <xdr:nvGraphicFramePr>
        <xdr:cNvPr id="3" name="Chart 1"/>
        <xdr:cNvGraphicFramePr/>
      </xdr:nvGraphicFramePr>
      <xdr:xfrm>
        <a:off x="6438960" y="971568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8</xdr:row>
      <xdr:rowOff>160920</xdr:rowOff>
    </xdr:from>
    <xdr:to>
      <xdr:col>18</xdr:col>
      <xdr:colOff>255960</xdr:colOff>
      <xdr:row>22</xdr:row>
      <xdr:rowOff>118800</xdr:rowOff>
    </xdr:to>
    <xdr:graphicFrame>
      <xdr:nvGraphicFramePr>
        <xdr:cNvPr id="4" name="Chart 1"/>
        <xdr:cNvGraphicFramePr/>
      </xdr:nvGraphicFramePr>
      <xdr:xfrm>
        <a:off x="9633600" y="1714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32</xdr:row>
      <xdr:rowOff>160920</xdr:rowOff>
    </xdr:from>
    <xdr:to>
      <xdr:col>17</xdr:col>
      <xdr:colOff>364320</xdr:colOff>
      <xdr:row>49</xdr:row>
      <xdr:rowOff>49680</xdr:rowOff>
    </xdr:to>
    <xdr:graphicFrame>
      <xdr:nvGraphicFramePr>
        <xdr:cNvPr id="5" name="Chart 1"/>
        <xdr:cNvGraphicFramePr/>
      </xdr:nvGraphicFramePr>
      <xdr:xfrm>
        <a:off x="8505720" y="6286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50</xdr:row>
      <xdr:rowOff>160920</xdr:rowOff>
    </xdr:from>
    <xdr:to>
      <xdr:col>14</xdr:col>
      <xdr:colOff>256320</xdr:colOff>
      <xdr:row>69</xdr:row>
      <xdr:rowOff>141120</xdr:rowOff>
    </xdr:to>
    <xdr:graphicFrame>
      <xdr:nvGraphicFramePr>
        <xdr:cNvPr id="6" name="Chart 1"/>
        <xdr:cNvGraphicFramePr/>
      </xdr:nvGraphicFramePr>
      <xdr:xfrm>
        <a:off x="6438960" y="971568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8</xdr:row>
      <xdr:rowOff>160920</xdr:rowOff>
    </xdr:from>
    <xdr:to>
      <xdr:col>18</xdr:col>
      <xdr:colOff>255960</xdr:colOff>
      <xdr:row>22</xdr:row>
      <xdr:rowOff>118800</xdr:rowOff>
    </xdr:to>
    <xdr:graphicFrame>
      <xdr:nvGraphicFramePr>
        <xdr:cNvPr id="7" name="Chart 1"/>
        <xdr:cNvGraphicFramePr/>
      </xdr:nvGraphicFramePr>
      <xdr:xfrm>
        <a:off x="9633600" y="1714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32</xdr:row>
      <xdr:rowOff>160920</xdr:rowOff>
    </xdr:from>
    <xdr:to>
      <xdr:col>17</xdr:col>
      <xdr:colOff>364320</xdr:colOff>
      <xdr:row>49</xdr:row>
      <xdr:rowOff>49680</xdr:rowOff>
    </xdr:to>
    <xdr:graphicFrame>
      <xdr:nvGraphicFramePr>
        <xdr:cNvPr id="8" name="Chart 1"/>
        <xdr:cNvGraphicFramePr/>
      </xdr:nvGraphicFramePr>
      <xdr:xfrm>
        <a:off x="8505720" y="6286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Dashboard" displayName="TblDashboard" ref="B5:O20" headerRowCount="1" totalsRowCount="0" totalsRowShown="0">
  <autoFilter ref="B5:O20"/>
  <tableColumns count="14">
    <tableColumn id="1" name="Objekt-ID"/>
    <tableColumn id="2" name="Adresse"/>
    <tableColumn id="3" name="Baujahr"/>
    <tableColumn id="4" name="Kaufpreis €"/>
    <tableColumn id="5" name="Wohnfläche m²"/>
    <tableColumn id="6" name="€/m² Kaufpreis"/>
    <tableColumn id="7" name="Sanierungskosten netto €"/>
    <tableColumn id="8" name="Gesamtinvestition €"/>
    <tableColumn id="9" name="Max. Kaufpreis (Zielpreis) €"/>
    <tableColumn id="10" name="Verhandlungsdelta €"/>
    <tableColumn id="11" name="Monatsrate €"/>
    <tableColumn id="12" name="Energiekosten nachher €/a"/>
    <tableColumn id="13" name="CO2-Deckung %"/>
    <tableColumn id="14" name="Ampel Gesam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_rels/sheet16.xml.rels><?xml version="1.0" encoding="UTF-8"?>
<Relationships xmlns="http://schemas.openxmlformats.org/package/2006/relationships"><Relationship Id="rId1" Type="http://schemas.openxmlformats.org/officeDocument/2006/relationships/drawing" Target="../drawings/drawing7.xml"/>
</Relationships>
</file>

<file path=xl/worksheets/_rels/sheet18.xml.rels><?xml version="1.0" encoding="UTF-8"?>
<Relationships xmlns="http://schemas.openxmlformats.org/package/2006/relationships"><Relationship Id="rId1" Type="http://schemas.openxmlformats.org/officeDocument/2006/relationships/drawing" Target="../drawings/drawing8.xml"/>
</Relationships>
</file>

<file path=xl/worksheets/_rels/sheet19.xml.rels><?xml version="1.0" encoding="UTF-8"?>
<Relationships xmlns="http://schemas.openxmlformats.org/package/2006/relationships"><Relationship Id="rId1" Type="http://schemas.openxmlformats.org/officeDocument/2006/relationships/drawing" Target="../drawings/drawing9.xml"/>
</Relationships>
</file>

<file path=xl/worksheets/_rels/sheet22.xml.rels><?xml version="1.0" encoding="UTF-8"?>
<Relationships xmlns="http://schemas.openxmlformats.org/package/2006/relationships"><Relationship Id="rId1" Type="http://schemas.openxmlformats.org/officeDocument/2006/relationships/drawing" Target="../drawings/drawing10.xml"/>
</Relationships>
</file>

<file path=xl/worksheets/_rels/sheet23.xml.rels><?xml version="1.0" encoding="UTF-8"?>
<Relationships xmlns="http://schemas.openxmlformats.org/package/2006/relationships"><Relationship Id="rId1" Type="http://schemas.openxmlformats.org/officeDocument/2006/relationships/drawing" Target="../drawings/drawing11.xml"/>
</Relationships>
</file>

<file path=xl/worksheets/_rels/sheet25.xml.rels><?xml version="1.0" encoding="UTF-8"?>
<Relationships xmlns="http://schemas.openxmlformats.org/package/2006/relationships"><Relationship Id="rId1" Type="http://schemas.openxmlformats.org/officeDocument/2006/relationships/drawing" Target="../drawings/drawing12.xml"/>
</Relationships>
</file>

<file path=xl/worksheets/_rels/sheet26.xml.rels><?xml version="1.0" encoding="UTF-8"?>
<Relationships xmlns="http://schemas.openxmlformats.org/package/2006/relationships"><Relationship Id="rId1" Type="http://schemas.openxmlformats.org/officeDocument/2006/relationships/drawing" Target="../drawings/drawing13.xml"/>
</Relationships>
</file>

<file path=xl/worksheets/_rels/sheet2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1:I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B1" s="1" t="s">
        <v>0</v>
      </c>
    </row>
    <row r="3" customFormat="false" ht="15" hidden="false" customHeight="false" outlineLevel="0" collapsed="false">
      <c r="B3" s="2" t="s">
        <v>1</v>
      </c>
    </row>
    <row r="4" customFormat="false" ht="15" hidden="false" customHeight="false" outlineLevel="0" collapsed="false">
      <c r="B4" s="3" t="s">
        <v>2</v>
      </c>
      <c r="C4" s="4" t="s">
        <v>3</v>
      </c>
    </row>
    <row r="5" customFormat="false" ht="15" hidden="false" customHeight="false" outlineLevel="0" collapsed="false">
      <c r="B5" s="4" t="s">
        <v>4</v>
      </c>
      <c r="C5" s="4" t="s">
        <v>5</v>
      </c>
    </row>
    <row r="6" customFormat="false" ht="15" hidden="false" customHeight="false" outlineLevel="0" collapsed="false">
      <c r="B6" s="5" t="s">
        <v>6</v>
      </c>
      <c r="C6" s="4" t="s">
        <v>7</v>
      </c>
    </row>
    <row r="7" customFormat="false" ht="15" hidden="false" customHeight="false" outlineLevel="0" collapsed="false">
      <c r="B7" s="6" t="s">
        <v>8</v>
      </c>
      <c r="C7" s="4" t="s">
        <v>9</v>
      </c>
    </row>
    <row r="8" customFormat="false" ht="15" hidden="false" customHeight="false" outlineLevel="0" collapsed="false">
      <c r="B8" s="7" t="s">
        <v>10</v>
      </c>
      <c r="C8" s="4" t="s">
        <v>11</v>
      </c>
    </row>
    <row r="10" customFormat="false" ht="15" hidden="false" customHeight="false" outlineLevel="0" collapsed="false">
      <c r="B10" s="2" t="s">
        <v>12</v>
      </c>
    </row>
    <row r="11" customFormat="false" ht="23.85" hidden="false" customHeight="true" outlineLevel="0" collapsed="false">
      <c r="B11" s="8" t="s">
        <v>13</v>
      </c>
      <c r="C11" s="8"/>
      <c r="D11" s="8"/>
      <c r="E11" s="8"/>
      <c r="F11" s="8"/>
      <c r="G11" s="8"/>
      <c r="H11" s="8"/>
      <c r="I11" s="8"/>
    </row>
    <row r="12" customFormat="false" ht="23.85" hidden="false" customHeight="true" outlineLevel="0" collapsed="false">
      <c r="B12" s="8" t="s">
        <v>14</v>
      </c>
      <c r="C12" s="8"/>
      <c r="D12" s="8"/>
      <c r="E12" s="8"/>
      <c r="F12" s="8"/>
      <c r="G12" s="8"/>
      <c r="H12" s="8"/>
      <c r="I12" s="8"/>
    </row>
    <row r="13" customFormat="false" ht="23.85" hidden="false" customHeight="true" outlineLevel="0" collapsed="false">
      <c r="B13" s="8" t="s">
        <v>15</v>
      </c>
      <c r="C13" s="8"/>
      <c r="D13" s="8"/>
      <c r="E13" s="8"/>
      <c r="F13" s="8"/>
      <c r="G13" s="8"/>
      <c r="H13" s="8"/>
      <c r="I13" s="8"/>
    </row>
    <row r="14" customFormat="false" ht="23.85" hidden="false" customHeight="true" outlineLevel="0" collapsed="false">
      <c r="B14" s="8" t="s">
        <v>16</v>
      </c>
      <c r="C14" s="8"/>
      <c r="D14" s="8"/>
      <c r="E14" s="8"/>
      <c r="F14" s="8"/>
      <c r="G14" s="8"/>
      <c r="H14" s="8"/>
      <c r="I14" s="8"/>
    </row>
    <row r="15" customFormat="false" ht="15" hidden="false" customHeight="true" outlineLevel="0" collapsed="false">
      <c r="B15" s="8" t="s">
        <v>17</v>
      </c>
      <c r="C15" s="8"/>
      <c r="D15" s="8"/>
      <c r="E15" s="8"/>
      <c r="F15" s="8"/>
      <c r="G15" s="8"/>
      <c r="H15" s="8"/>
      <c r="I15" s="8"/>
    </row>
    <row r="16" customFormat="false" ht="15" hidden="false" customHeight="true" outlineLevel="0" collapsed="false">
      <c r="B16" s="8" t="s">
        <v>18</v>
      </c>
      <c r="C16" s="8"/>
      <c r="D16" s="8"/>
      <c r="E16" s="8"/>
      <c r="F16" s="8"/>
      <c r="G16" s="8"/>
      <c r="H16" s="8"/>
      <c r="I16" s="8"/>
    </row>
    <row r="17" customFormat="false" ht="23.85" hidden="false" customHeight="true" outlineLevel="0" collapsed="false">
      <c r="B17" s="8" t="s">
        <v>19</v>
      </c>
      <c r="C17" s="8"/>
      <c r="D17" s="8"/>
      <c r="E17" s="8"/>
      <c r="F17" s="8"/>
      <c r="G17" s="8"/>
      <c r="H17" s="8"/>
      <c r="I17" s="8"/>
    </row>
    <row r="18" customFormat="false" ht="35.05" hidden="false" customHeight="true" outlineLevel="0" collapsed="false">
      <c r="B18" s="8" t="s">
        <v>20</v>
      </c>
      <c r="C18" s="8"/>
      <c r="D18" s="8"/>
      <c r="E18" s="8"/>
      <c r="F18" s="8"/>
      <c r="G18" s="8"/>
      <c r="H18" s="8"/>
      <c r="I18" s="8"/>
    </row>
    <row r="19" customFormat="false" ht="15" hidden="false" customHeight="true" outlineLevel="0" collapsed="false">
      <c r="B19" s="8" t="s">
        <v>21</v>
      </c>
      <c r="C19" s="8"/>
      <c r="D19" s="8"/>
      <c r="E19" s="8"/>
      <c r="F19" s="8"/>
      <c r="G19" s="8"/>
      <c r="H19" s="8"/>
      <c r="I19" s="8"/>
    </row>
    <row r="21" customFormat="false" ht="15" hidden="false" customHeight="false" outlineLevel="0" collapsed="false">
      <c r="B21" s="2" t="s">
        <v>22</v>
      </c>
    </row>
    <row r="22" customFormat="false" ht="46.25" hidden="false" customHeight="true" outlineLevel="0" collapsed="false">
      <c r="B22" s="9" t="s">
        <v>23</v>
      </c>
      <c r="C22" s="9"/>
      <c r="D22" s="9"/>
      <c r="E22" s="9"/>
      <c r="F22" s="9"/>
      <c r="G22" s="9"/>
      <c r="H22" s="9"/>
      <c r="I22" s="9"/>
    </row>
    <row r="23" customFormat="false" ht="15" hidden="false" customHeight="true" outlineLevel="0" collapsed="false">
      <c r="B23" s="8" t="s">
        <v>24</v>
      </c>
      <c r="C23" s="8"/>
      <c r="D23" s="8"/>
      <c r="E23" s="8"/>
      <c r="F23" s="8"/>
      <c r="G23" s="8"/>
      <c r="H23" s="8"/>
      <c r="I23" s="8"/>
    </row>
    <row r="24" customFormat="false" ht="15" hidden="false" customHeight="true" outlineLevel="0" collapsed="false">
      <c r="B24" s="8" t="s">
        <v>25</v>
      </c>
      <c r="C24" s="8"/>
      <c r="D24" s="8"/>
      <c r="E24" s="8"/>
      <c r="F24" s="8"/>
      <c r="G24" s="8"/>
      <c r="H24" s="8"/>
      <c r="I24" s="8"/>
    </row>
    <row r="25" customFormat="false" ht="15" hidden="false" customHeight="true" outlineLevel="0" collapsed="false">
      <c r="B25" s="8" t="s">
        <v>26</v>
      </c>
      <c r="C25" s="8"/>
      <c r="D25" s="8"/>
      <c r="E25" s="8"/>
      <c r="F25" s="8"/>
      <c r="G25" s="8"/>
      <c r="H25" s="8"/>
      <c r="I25" s="8"/>
    </row>
    <row r="26" customFormat="false" ht="23.85" hidden="false" customHeight="true" outlineLevel="0" collapsed="false">
      <c r="B26" s="8" t="s">
        <v>27</v>
      </c>
      <c r="C26" s="8"/>
      <c r="D26" s="8"/>
      <c r="E26" s="8"/>
      <c r="F26" s="8"/>
      <c r="G26" s="8"/>
      <c r="H26" s="8"/>
      <c r="I26" s="8"/>
    </row>
  </sheetData>
  <mergeCells count="14">
    <mergeCell ref="B11:I11"/>
    <mergeCell ref="B12:I12"/>
    <mergeCell ref="B13:I13"/>
    <mergeCell ref="B14:I14"/>
    <mergeCell ref="B15:I15"/>
    <mergeCell ref="B16:I16"/>
    <mergeCell ref="B17:I17"/>
    <mergeCell ref="B18:I18"/>
    <mergeCell ref="B19:I19"/>
    <mergeCell ref="B22:I22"/>
    <mergeCell ref="B23:I23"/>
    <mergeCell ref="B24:I24"/>
    <mergeCell ref="B25:I25"/>
    <mergeCell ref="B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26"/>
    <col collapsed="false" customWidth="true" hidden="false" outlineLevel="0" max="4" min="4" style="0" width="8"/>
    <col collapsed="false" customWidth="true" hidden="false" outlineLevel="0" max="5" min="5" style="0" width="14"/>
    <col collapsed="false" customWidth="true" hidden="false" outlineLevel="0" max="6" min="6" style="0" width="10"/>
    <col collapsed="false" customWidth="true" hidden="false" outlineLevel="0" max="8" min="7" style="0" width="14"/>
    <col collapsed="false" customWidth="true" hidden="false" outlineLevel="0" max="9" min="9" style="0" width="16"/>
    <col collapsed="false" customWidth="true" hidden="false" outlineLevel="0" max="11" min="10" style="0" width="14"/>
    <col collapsed="false" customWidth="true" hidden="false" outlineLevel="0" max="12" min="12" style="0" width="16"/>
  </cols>
  <sheetData>
    <row r="1" customFormat="false" ht="17.35" hidden="false" customHeight="false" outlineLevel="0" collapsed="false">
      <c r="B1" s="1" t="s">
        <v>28</v>
      </c>
    </row>
    <row r="3" customFormat="false" ht="45" hidden="false" customHeight="true" outlineLevel="0" collapsed="false">
      <c r="B3" s="10" t="s">
        <v>29</v>
      </c>
      <c r="C3" s="10"/>
      <c r="D3" s="10"/>
      <c r="E3" s="10"/>
      <c r="F3" s="10"/>
      <c r="G3" s="10"/>
      <c r="H3" s="10"/>
      <c r="I3" s="10"/>
      <c r="J3" s="10"/>
      <c r="K3" s="10"/>
      <c r="L3" s="10"/>
    </row>
    <row r="5" customFormat="false" ht="23.85" hidden="false" customHeight="false" outlineLevel="0" collapsed="false">
      <c r="B5" s="11" t="s">
        <v>30</v>
      </c>
      <c r="C5" s="11" t="s">
        <v>31</v>
      </c>
      <c r="D5" s="11" t="s">
        <v>32</v>
      </c>
      <c r="E5" s="11" t="s">
        <v>33</v>
      </c>
      <c r="F5" s="11" t="s">
        <v>34</v>
      </c>
      <c r="G5" s="11" t="s">
        <v>35</v>
      </c>
      <c r="H5" s="11" t="s">
        <v>36</v>
      </c>
      <c r="I5" s="11" t="s">
        <v>37</v>
      </c>
      <c r="J5" s="11" t="s">
        <v>38</v>
      </c>
      <c r="K5" s="11" t="s">
        <v>39</v>
      </c>
      <c r="L5" s="11" t="s">
        <v>40</v>
      </c>
    </row>
    <row r="6" customFormat="false" ht="15" hidden="false" customHeight="false" outlineLevel="0" collapsed="false">
      <c r="B6" s="3" t="s">
        <v>41</v>
      </c>
      <c r="C6" s="12" t="str">
        <f aca="true">IF($B6="","",IFERROR(INDIRECT("'10_"&amp;$B6&amp;"'!C4"),"#REF"))</f>
        <v>Musterstraße 12</v>
      </c>
      <c r="D6" s="12" t="n">
        <f aca="true">IF($B6="","",IFERROR(INDIRECT("'10_"&amp;$B6&amp;"'!C5"),"#REF"))</f>
        <v>32312</v>
      </c>
      <c r="E6" s="12" t="str">
        <f aca="true">IF($B6="","",IFERROR(INDIRECT("'10_"&amp;$B6&amp;"'!C6"),"#REF"))</f>
        <v>Lübbecke</v>
      </c>
      <c r="F6" s="12" t="n">
        <f aca="true">IF($B6="","",IFERROR(INDIRECT("'10_"&amp;$B6&amp;"'!C7"),"#REF"))</f>
        <v>1982</v>
      </c>
      <c r="G6" s="13" t="n">
        <f aca="true">IF($B6="","",IFERROR(INDIRECT("'10_"&amp;$B6&amp;"'!C8"),"#REF"))</f>
        <v>279000</v>
      </c>
      <c r="H6" s="12" t="n">
        <f aca="true">IF($B6="","",IFERROR(INDIRECT("'10_"&amp;$B6&amp;"'!C9"),"#REF"))</f>
        <v>138</v>
      </c>
      <c r="I6" s="12" t="str">
        <f aca="true">IF($B6="","",IFERROR(INDIRECT("'10_"&amp;$B6&amp;"'!C21"),"#REF"))</f>
        <v>EH 55 EE</v>
      </c>
      <c r="J6" s="12" t="str">
        <f aca="false">IF($B6="","",HYPERLINK("#'10_"&amp;$B6&amp;"'!A1","10_"&amp;$B6))</f>
        <v>10_Beispiel_Luebbecke</v>
      </c>
      <c r="K6" s="12" t="str">
        <f aca="false">IF($B6="","",HYPERLINK("#'11_"&amp;$B6&amp;"'!A1","11_"&amp;$B6))</f>
        <v>11_Beispiel_Luebbecke</v>
      </c>
      <c r="L6" s="12" t="str">
        <f aca="false">IF($B6="","",HYPERLINK("#'20_Dashboard'!A1","Dashboard"))</f>
        <v>Dashboard</v>
      </c>
    </row>
    <row r="7" customFormat="false" ht="15" hidden="false" customHeight="false" outlineLevel="0" collapsed="false">
      <c r="B7" s="3" t="s">
        <v>42</v>
      </c>
      <c r="C7" s="12" t="str">
        <f aca="true">IF($B7="","",IFERROR(INDIRECT("'10_"&amp;$B7&amp;"'!C4"),"#REF"))</f>
        <v>Bahnhofstraße 4</v>
      </c>
      <c r="D7" s="12" t="n">
        <f aca="true">IF($B7="","",IFERROR(INDIRECT("'10_"&amp;$B7&amp;"'!C5"),"#REF"))</f>
        <v>32369</v>
      </c>
      <c r="E7" s="12" t="str">
        <f aca="true">IF($B7="","",IFERROR(INDIRECT("'10_"&amp;$B7&amp;"'!C6"),"#REF"))</f>
        <v>Rahden</v>
      </c>
      <c r="F7" s="12" t="n">
        <f aca="true">IF($B7="","",IFERROR(INDIRECT("'10_"&amp;$B7&amp;"'!C7"),"#REF"))</f>
        <v>1968</v>
      </c>
      <c r="G7" s="13" t="n">
        <f aca="true">IF($B7="","",IFERROR(INDIRECT("'10_"&amp;$B7&amp;"'!C8"),"#REF"))</f>
        <v>195000</v>
      </c>
      <c r="H7" s="12" t="n">
        <f aca="true">IF($B7="","",IFERROR(INDIRECT("'10_"&amp;$B7&amp;"'!C9"),"#REF"))</f>
        <v>122</v>
      </c>
      <c r="I7" s="12" t="str">
        <f aca="true">IF($B7="","",IFERROR(INDIRECT("'10_"&amp;$B7&amp;"'!C21"),"#REF"))</f>
        <v>EH 40 EE</v>
      </c>
      <c r="J7" s="12" t="str">
        <f aca="false">IF($B7="","",HYPERLINK("#'10_"&amp;$B7&amp;"'!A1","10_"&amp;$B7))</f>
        <v>10_Beispiel_Rahden</v>
      </c>
      <c r="K7" s="12" t="str">
        <f aca="false">IF($B7="","",HYPERLINK("#'11_"&amp;$B7&amp;"'!A1","11_"&amp;$B7))</f>
        <v>11_Beispiel_Rahden</v>
      </c>
      <c r="L7" s="12" t="str">
        <f aca="false">IF($B7="","",HYPERLINK("#'20_Dashboard'!A1","Dashboard"))</f>
        <v>Dashboard</v>
      </c>
    </row>
    <row r="8" customFormat="false" ht="15" hidden="false" customHeight="false" outlineLevel="0" collapsed="false">
      <c r="B8" s="3"/>
      <c r="C8" s="12" t="str">
        <f aca="true">IF($B8="","",IFERROR(INDIRECT("'10_"&amp;$B8&amp;"'!C4"),"#REF"))</f>
        <v/>
      </c>
      <c r="D8" s="12" t="str">
        <f aca="true">IF($B8="","",IFERROR(INDIRECT("'10_"&amp;$B8&amp;"'!C5"),"#REF"))</f>
        <v/>
      </c>
      <c r="E8" s="12" t="str">
        <f aca="true">IF($B8="","",IFERROR(INDIRECT("'10_"&amp;$B8&amp;"'!C6"),"#REF"))</f>
        <v/>
      </c>
      <c r="F8" s="12" t="str">
        <f aca="true">IF($B8="","",IFERROR(INDIRECT("'10_"&amp;$B8&amp;"'!C7"),"#REF"))</f>
        <v/>
      </c>
      <c r="G8" s="13" t="str">
        <f aca="true">IF($B8="","",IFERROR(INDIRECT("'10_"&amp;$B8&amp;"'!C8"),"#REF"))</f>
        <v/>
      </c>
      <c r="H8" s="12" t="str">
        <f aca="true">IF($B8="","",IFERROR(INDIRECT("'10_"&amp;$B8&amp;"'!C9"),"#REF"))</f>
        <v/>
      </c>
      <c r="I8" s="12" t="str">
        <f aca="true">IF($B8="","",IFERROR(INDIRECT("'10_"&amp;$B8&amp;"'!C21"),"#REF"))</f>
        <v/>
      </c>
      <c r="J8" s="12" t="str">
        <f aca="false">IF($B8="","",HYPERLINK("#'10_"&amp;$B8&amp;"'!A1","10_"&amp;$B8))</f>
        <v/>
      </c>
      <c r="K8" s="12" t="str">
        <f aca="false">IF($B8="","",HYPERLINK("#'11_"&amp;$B8&amp;"'!A1","11_"&amp;$B8))</f>
        <v/>
      </c>
      <c r="L8" s="12" t="str">
        <f aca="false">IF($B8="","",HYPERLINK("#'20_Dashboard'!A1","Dashboard"))</f>
        <v/>
      </c>
    </row>
    <row r="9" customFormat="false" ht="15" hidden="false" customHeight="false" outlineLevel="0" collapsed="false">
      <c r="B9" s="3"/>
      <c r="C9" s="12" t="str">
        <f aca="true">IF($B9="","",IFERROR(INDIRECT("'10_"&amp;$B9&amp;"'!C4"),"#REF"))</f>
        <v/>
      </c>
      <c r="D9" s="12" t="str">
        <f aca="true">IF($B9="","",IFERROR(INDIRECT("'10_"&amp;$B9&amp;"'!C5"),"#REF"))</f>
        <v/>
      </c>
      <c r="E9" s="12" t="str">
        <f aca="true">IF($B9="","",IFERROR(INDIRECT("'10_"&amp;$B9&amp;"'!C6"),"#REF"))</f>
        <v/>
      </c>
      <c r="F9" s="12" t="str">
        <f aca="true">IF($B9="","",IFERROR(INDIRECT("'10_"&amp;$B9&amp;"'!C7"),"#REF"))</f>
        <v/>
      </c>
      <c r="G9" s="13" t="str">
        <f aca="true">IF($B9="","",IFERROR(INDIRECT("'10_"&amp;$B9&amp;"'!C8"),"#REF"))</f>
        <v/>
      </c>
      <c r="H9" s="12" t="str">
        <f aca="true">IF($B9="","",IFERROR(INDIRECT("'10_"&amp;$B9&amp;"'!C9"),"#REF"))</f>
        <v/>
      </c>
      <c r="I9" s="12" t="str">
        <f aca="true">IF($B9="","",IFERROR(INDIRECT("'10_"&amp;$B9&amp;"'!C21"),"#REF"))</f>
        <v/>
      </c>
      <c r="J9" s="12" t="str">
        <f aca="false">IF($B9="","",HYPERLINK("#'10_"&amp;$B9&amp;"'!A1","10_"&amp;$B9))</f>
        <v/>
      </c>
      <c r="K9" s="12" t="str">
        <f aca="false">IF($B9="","",HYPERLINK("#'11_"&amp;$B9&amp;"'!A1","11_"&amp;$B9))</f>
        <v/>
      </c>
      <c r="L9" s="12" t="str">
        <f aca="false">IF($B9="","",HYPERLINK("#'20_Dashboard'!A1","Dashboard"))</f>
        <v/>
      </c>
    </row>
    <row r="10" customFormat="false" ht="15" hidden="false" customHeight="false" outlineLevel="0" collapsed="false">
      <c r="B10" s="3"/>
      <c r="C10" s="12" t="str">
        <f aca="true">IF($B10="","",IFERROR(INDIRECT("'10_"&amp;$B10&amp;"'!C4"),"#REF"))</f>
        <v/>
      </c>
      <c r="D10" s="12" t="str">
        <f aca="true">IF($B10="","",IFERROR(INDIRECT("'10_"&amp;$B10&amp;"'!C5"),"#REF"))</f>
        <v/>
      </c>
      <c r="E10" s="12" t="str">
        <f aca="true">IF($B10="","",IFERROR(INDIRECT("'10_"&amp;$B10&amp;"'!C6"),"#REF"))</f>
        <v/>
      </c>
      <c r="F10" s="12" t="str">
        <f aca="true">IF($B10="","",IFERROR(INDIRECT("'10_"&amp;$B10&amp;"'!C7"),"#REF"))</f>
        <v/>
      </c>
      <c r="G10" s="13" t="str">
        <f aca="true">IF($B10="","",IFERROR(INDIRECT("'10_"&amp;$B10&amp;"'!C8"),"#REF"))</f>
        <v/>
      </c>
      <c r="H10" s="12" t="str">
        <f aca="true">IF($B10="","",IFERROR(INDIRECT("'10_"&amp;$B10&amp;"'!C9"),"#REF"))</f>
        <v/>
      </c>
      <c r="I10" s="12" t="str">
        <f aca="true">IF($B10="","",IFERROR(INDIRECT("'10_"&amp;$B10&amp;"'!C21"),"#REF"))</f>
        <v/>
      </c>
      <c r="J10" s="12" t="str">
        <f aca="false">IF($B10="","",HYPERLINK("#'10_"&amp;$B10&amp;"'!A1","10_"&amp;$B10))</f>
        <v/>
      </c>
      <c r="K10" s="12" t="str">
        <f aca="false">IF($B10="","",HYPERLINK("#'11_"&amp;$B10&amp;"'!A1","11_"&amp;$B10))</f>
        <v/>
      </c>
      <c r="L10" s="12" t="str">
        <f aca="false">IF($B10="","",HYPERLINK("#'20_Dashboard'!A1","Dashboard"))</f>
        <v/>
      </c>
    </row>
    <row r="11" customFormat="false" ht="15" hidden="false" customHeight="false" outlineLevel="0" collapsed="false">
      <c r="B11" s="3"/>
      <c r="C11" s="12" t="str">
        <f aca="true">IF($B11="","",IFERROR(INDIRECT("'10_"&amp;$B11&amp;"'!C4"),"#REF"))</f>
        <v/>
      </c>
      <c r="D11" s="12" t="str">
        <f aca="true">IF($B11="","",IFERROR(INDIRECT("'10_"&amp;$B11&amp;"'!C5"),"#REF"))</f>
        <v/>
      </c>
      <c r="E11" s="12" t="str">
        <f aca="true">IF($B11="","",IFERROR(INDIRECT("'10_"&amp;$B11&amp;"'!C6"),"#REF"))</f>
        <v/>
      </c>
      <c r="F11" s="12" t="str">
        <f aca="true">IF($B11="","",IFERROR(INDIRECT("'10_"&amp;$B11&amp;"'!C7"),"#REF"))</f>
        <v/>
      </c>
      <c r="G11" s="13" t="str">
        <f aca="true">IF($B11="","",IFERROR(INDIRECT("'10_"&amp;$B11&amp;"'!C8"),"#REF"))</f>
        <v/>
      </c>
      <c r="H11" s="12" t="str">
        <f aca="true">IF($B11="","",IFERROR(INDIRECT("'10_"&amp;$B11&amp;"'!C9"),"#REF"))</f>
        <v/>
      </c>
      <c r="I11" s="12" t="str">
        <f aca="true">IF($B11="","",IFERROR(INDIRECT("'10_"&amp;$B11&amp;"'!C21"),"#REF"))</f>
        <v/>
      </c>
      <c r="J11" s="12" t="str">
        <f aca="false">IF($B11="","",HYPERLINK("#'10_"&amp;$B11&amp;"'!A1","10_"&amp;$B11))</f>
        <v/>
      </c>
      <c r="K11" s="12" t="str">
        <f aca="false">IF($B11="","",HYPERLINK("#'11_"&amp;$B11&amp;"'!A1","11_"&amp;$B11))</f>
        <v/>
      </c>
      <c r="L11" s="12" t="str">
        <f aca="false">IF($B11="","",HYPERLINK("#'20_Dashboard'!A1","Dashboard"))</f>
        <v/>
      </c>
    </row>
    <row r="12" customFormat="false" ht="15" hidden="false" customHeight="false" outlineLevel="0" collapsed="false">
      <c r="B12" s="3"/>
      <c r="C12" s="12" t="str">
        <f aca="true">IF($B12="","",IFERROR(INDIRECT("'10_"&amp;$B12&amp;"'!C4"),"#REF"))</f>
        <v/>
      </c>
      <c r="D12" s="12" t="str">
        <f aca="true">IF($B12="","",IFERROR(INDIRECT("'10_"&amp;$B12&amp;"'!C5"),"#REF"))</f>
        <v/>
      </c>
      <c r="E12" s="12" t="str">
        <f aca="true">IF($B12="","",IFERROR(INDIRECT("'10_"&amp;$B12&amp;"'!C6"),"#REF"))</f>
        <v/>
      </c>
      <c r="F12" s="12" t="str">
        <f aca="true">IF($B12="","",IFERROR(INDIRECT("'10_"&amp;$B12&amp;"'!C7"),"#REF"))</f>
        <v/>
      </c>
      <c r="G12" s="13" t="str">
        <f aca="true">IF($B12="","",IFERROR(INDIRECT("'10_"&amp;$B12&amp;"'!C8"),"#REF"))</f>
        <v/>
      </c>
      <c r="H12" s="12" t="str">
        <f aca="true">IF($B12="","",IFERROR(INDIRECT("'10_"&amp;$B12&amp;"'!C9"),"#REF"))</f>
        <v/>
      </c>
      <c r="I12" s="12" t="str">
        <f aca="true">IF($B12="","",IFERROR(INDIRECT("'10_"&amp;$B12&amp;"'!C21"),"#REF"))</f>
        <v/>
      </c>
      <c r="J12" s="12" t="str">
        <f aca="false">IF($B12="","",HYPERLINK("#'10_"&amp;$B12&amp;"'!A1","10_"&amp;$B12))</f>
        <v/>
      </c>
      <c r="K12" s="12" t="str">
        <f aca="false">IF($B12="","",HYPERLINK("#'11_"&amp;$B12&amp;"'!A1","11_"&amp;$B12))</f>
        <v/>
      </c>
      <c r="L12" s="12" t="str">
        <f aca="false">IF($B12="","",HYPERLINK("#'20_Dashboard'!A1","Dashboard"))</f>
        <v/>
      </c>
    </row>
    <row r="13" customFormat="false" ht="15" hidden="false" customHeight="false" outlineLevel="0" collapsed="false">
      <c r="B13" s="3"/>
      <c r="C13" s="12" t="str">
        <f aca="true">IF($B13="","",IFERROR(INDIRECT("'10_"&amp;$B13&amp;"'!C4"),"#REF"))</f>
        <v/>
      </c>
      <c r="D13" s="12" t="str">
        <f aca="true">IF($B13="","",IFERROR(INDIRECT("'10_"&amp;$B13&amp;"'!C5"),"#REF"))</f>
        <v/>
      </c>
      <c r="E13" s="12" t="str">
        <f aca="true">IF($B13="","",IFERROR(INDIRECT("'10_"&amp;$B13&amp;"'!C6"),"#REF"))</f>
        <v/>
      </c>
      <c r="F13" s="12" t="str">
        <f aca="true">IF($B13="","",IFERROR(INDIRECT("'10_"&amp;$B13&amp;"'!C7"),"#REF"))</f>
        <v/>
      </c>
      <c r="G13" s="13" t="str">
        <f aca="true">IF($B13="","",IFERROR(INDIRECT("'10_"&amp;$B13&amp;"'!C8"),"#REF"))</f>
        <v/>
      </c>
      <c r="H13" s="12" t="str">
        <f aca="true">IF($B13="","",IFERROR(INDIRECT("'10_"&amp;$B13&amp;"'!C9"),"#REF"))</f>
        <v/>
      </c>
      <c r="I13" s="12" t="str">
        <f aca="true">IF($B13="","",IFERROR(INDIRECT("'10_"&amp;$B13&amp;"'!C21"),"#REF"))</f>
        <v/>
      </c>
      <c r="J13" s="12" t="str">
        <f aca="false">IF($B13="","",HYPERLINK("#'10_"&amp;$B13&amp;"'!A1","10_"&amp;$B13))</f>
        <v/>
      </c>
      <c r="K13" s="12" t="str">
        <f aca="false">IF($B13="","",HYPERLINK("#'11_"&amp;$B13&amp;"'!A1","11_"&amp;$B13))</f>
        <v/>
      </c>
      <c r="L13" s="12" t="str">
        <f aca="false">IF($B13="","",HYPERLINK("#'20_Dashboard'!A1","Dashboard"))</f>
        <v/>
      </c>
    </row>
    <row r="14" customFormat="false" ht="15" hidden="false" customHeight="false" outlineLevel="0" collapsed="false">
      <c r="B14" s="3"/>
      <c r="C14" s="12" t="str">
        <f aca="true">IF($B14="","",IFERROR(INDIRECT("'10_"&amp;$B14&amp;"'!C4"),"#REF"))</f>
        <v/>
      </c>
      <c r="D14" s="12" t="str">
        <f aca="true">IF($B14="","",IFERROR(INDIRECT("'10_"&amp;$B14&amp;"'!C5"),"#REF"))</f>
        <v/>
      </c>
      <c r="E14" s="12" t="str">
        <f aca="true">IF($B14="","",IFERROR(INDIRECT("'10_"&amp;$B14&amp;"'!C6"),"#REF"))</f>
        <v/>
      </c>
      <c r="F14" s="12" t="str">
        <f aca="true">IF($B14="","",IFERROR(INDIRECT("'10_"&amp;$B14&amp;"'!C7"),"#REF"))</f>
        <v/>
      </c>
      <c r="G14" s="13" t="str">
        <f aca="true">IF($B14="","",IFERROR(INDIRECT("'10_"&amp;$B14&amp;"'!C8"),"#REF"))</f>
        <v/>
      </c>
      <c r="H14" s="12" t="str">
        <f aca="true">IF($B14="","",IFERROR(INDIRECT("'10_"&amp;$B14&amp;"'!C9"),"#REF"))</f>
        <v/>
      </c>
      <c r="I14" s="12" t="str">
        <f aca="true">IF($B14="","",IFERROR(INDIRECT("'10_"&amp;$B14&amp;"'!C21"),"#REF"))</f>
        <v/>
      </c>
      <c r="J14" s="12" t="str">
        <f aca="false">IF($B14="","",HYPERLINK("#'10_"&amp;$B14&amp;"'!A1","10_"&amp;$B14))</f>
        <v/>
      </c>
      <c r="K14" s="12" t="str">
        <f aca="false">IF($B14="","",HYPERLINK("#'11_"&amp;$B14&amp;"'!A1","11_"&amp;$B14))</f>
        <v/>
      </c>
      <c r="L14" s="12" t="str">
        <f aca="false">IF($B14="","",HYPERLINK("#'20_Dashboard'!A1","Dashboard"))</f>
        <v/>
      </c>
    </row>
    <row r="15" customFormat="false" ht="15" hidden="false" customHeight="false" outlineLevel="0" collapsed="false">
      <c r="B15" s="3"/>
      <c r="C15" s="12" t="str">
        <f aca="true">IF($B15="","",IFERROR(INDIRECT("'10_"&amp;$B15&amp;"'!C4"),"#REF"))</f>
        <v/>
      </c>
      <c r="D15" s="12" t="str">
        <f aca="true">IF($B15="","",IFERROR(INDIRECT("'10_"&amp;$B15&amp;"'!C5"),"#REF"))</f>
        <v/>
      </c>
      <c r="E15" s="12" t="str">
        <f aca="true">IF($B15="","",IFERROR(INDIRECT("'10_"&amp;$B15&amp;"'!C6"),"#REF"))</f>
        <v/>
      </c>
      <c r="F15" s="12" t="str">
        <f aca="true">IF($B15="","",IFERROR(INDIRECT("'10_"&amp;$B15&amp;"'!C7"),"#REF"))</f>
        <v/>
      </c>
      <c r="G15" s="13" t="str">
        <f aca="true">IF($B15="","",IFERROR(INDIRECT("'10_"&amp;$B15&amp;"'!C8"),"#REF"))</f>
        <v/>
      </c>
      <c r="H15" s="12" t="str">
        <f aca="true">IF($B15="","",IFERROR(INDIRECT("'10_"&amp;$B15&amp;"'!C9"),"#REF"))</f>
        <v/>
      </c>
      <c r="I15" s="12" t="str">
        <f aca="true">IF($B15="","",IFERROR(INDIRECT("'10_"&amp;$B15&amp;"'!C21"),"#REF"))</f>
        <v/>
      </c>
      <c r="J15" s="12" t="str">
        <f aca="false">IF($B15="","",HYPERLINK("#'10_"&amp;$B15&amp;"'!A1","10_"&amp;$B15))</f>
        <v/>
      </c>
      <c r="K15" s="12" t="str">
        <f aca="false">IF($B15="","",HYPERLINK("#'11_"&amp;$B15&amp;"'!A1","11_"&amp;$B15))</f>
        <v/>
      </c>
      <c r="L15" s="12" t="str">
        <f aca="false">IF($B15="","",HYPERLINK("#'20_Dashboard'!A1","Dashboard"))</f>
        <v/>
      </c>
    </row>
    <row r="16" customFormat="false" ht="15" hidden="false" customHeight="false" outlineLevel="0" collapsed="false">
      <c r="B16" s="3"/>
      <c r="C16" s="12" t="str">
        <f aca="true">IF($B16="","",IFERROR(INDIRECT("'10_"&amp;$B16&amp;"'!C4"),"#REF"))</f>
        <v/>
      </c>
      <c r="D16" s="12" t="str">
        <f aca="true">IF($B16="","",IFERROR(INDIRECT("'10_"&amp;$B16&amp;"'!C5"),"#REF"))</f>
        <v/>
      </c>
      <c r="E16" s="12" t="str">
        <f aca="true">IF($B16="","",IFERROR(INDIRECT("'10_"&amp;$B16&amp;"'!C6"),"#REF"))</f>
        <v/>
      </c>
      <c r="F16" s="12" t="str">
        <f aca="true">IF($B16="","",IFERROR(INDIRECT("'10_"&amp;$B16&amp;"'!C7"),"#REF"))</f>
        <v/>
      </c>
      <c r="G16" s="13" t="str">
        <f aca="true">IF($B16="","",IFERROR(INDIRECT("'10_"&amp;$B16&amp;"'!C8"),"#REF"))</f>
        <v/>
      </c>
      <c r="H16" s="12" t="str">
        <f aca="true">IF($B16="","",IFERROR(INDIRECT("'10_"&amp;$B16&amp;"'!C9"),"#REF"))</f>
        <v/>
      </c>
      <c r="I16" s="12" t="str">
        <f aca="true">IF($B16="","",IFERROR(INDIRECT("'10_"&amp;$B16&amp;"'!C21"),"#REF"))</f>
        <v/>
      </c>
      <c r="J16" s="12" t="str">
        <f aca="false">IF($B16="","",HYPERLINK("#'10_"&amp;$B16&amp;"'!A1","10_"&amp;$B16))</f>
        <v/>
      </c>
      <c r="K16" s="12" t="str">
        <f aca="false">IF($B16="","",HYPERLINK("#'11_"&amp;$B16&amp;"'!A1","11_"&amp;$B16))</f>
        <v/>
      </c>
      <c r="L16" s="12" t="str">
        <f aca="false">IF($B16="","",HYPERLINK("#'20_Dashboard'!A1","Dashboard"))</f>
        <v/>
      </c>
    </row>
    <row r="17" customFormat="false" ht="15" hidden="false" customHeight="false" outlineLevel="0" collapsed="false">
      <c r="B17" s="3"/>
      <c r="C17" s="12" t="str">
        <f aca="true">IF($B17="","",IFERROR(INDIRECT("'10_"&amp;$B17&amp;"'!C4"),"#REF"))</f>
        <v/>
      </c>
      <c r="D17" s="12" t="str">
        <f aca="true">IF($B17="","",IFERROR(INDIRECT("'10_"&amp;$B17&amp;"'!C5"),"#REF"))</f>
        <v/>
      </c>
      <c r="E17" s="12" t="str">
        <f aca="true">IF($B17="","",IFERROR(INDIRECT("'10_"&amp;$B17&amp;"'!C6"),"#REF"))</f>
        <v/>
      </c>
      <c r="F17" s="12" t="str">
        <f aca="true">IF($B17="","",IFERROR(INDIRECT("'10_"&amp;$B17&amp;"'!C7"),"#REF"))</f>
        <v/>
      </c>
      <c r="G17" s="13" t="str">
        <f aca="true">IF($B17="","",IFERROR(INDIRECT("'10_"&amp;$B17&amp;"'!C8"),"#REF"))</f>
        <v/>
      </c>
      <c r="H17" s="12" t="str">
        <f aca="true">IF($B17="","",IFERROR(INDIRECT("'10_"&amp;$B17&amp;"'!C9"),"#REF"))</f>
        <v/>
      </c>
      <c r="I17" s="12" t="str">
        <f aca="true">IF($B17="","",IFERROR(INDIRECT("'10_"&amp;$B17&amp;"'!C21"),"#REF"))</f>
        <v/>
      </c>
      <c r="J17" s="12" t="str">
        <f aca="false">IF($B17="","",HYPERLINK("#'10_"&amp;$B17&amp;"'!A1","10_"&amp;$B17))</f>
        <v/>
      </c>
      <c r="K17" s="12" t="str">
        <f aca="false">IF($B17="","",HYPERLINK("#'11_"&amp;$B17&amp;"'!A1","11_"&amp;$B17))</f>
        <v/>
      </c>
      <c r="L17" s="12" t="str">
        <f aca="false">IF($B17="","",HYPERLINK("#'20_Dashboard'!A1","Dashboard"))</f>
        <v/>
      </c>
    </row>
    <row r="18" customFormat="false" ht="15" hidden="false" customHeight="false" outlineLevel="0" collapsed="false">
      <c r="B18" s="3"/>
      <c r="C18" s="12" t="str">
        <f aca="true">IF($B18="","",IFERROR(INDIRECT("'10_"&amp;$B18&amp;"'!C4"),"#REF"))</f>
        <v/>
      </c>
      <c r="D18" s="12" t="str">
        <f aca="true">IF($B18="","",IFERROR(INDIRECT("'10_"&amp;$B18&amp;"'!C5"),"#REF"))</f>
        <v/>
      </c>
      <c r="E18" s="12" t="str">
        <f aca="true">IF($B18="","",IFERROR(INDIRECT("'10_"&amp;$B18&amp;"'!C6"),"#REF"))</f>
        <v/>
      </c>
      <c r="F18" s="12" t="str">
        <f aca="true">IF($B18="","",IFERROR(INDIRECT("'10_"&amp;$B18&amp;"'!C7"),"#REF"))</f>
        <v/>
      </c>
      <c r="G18" s="13" t="str">
        <f aca="true">IF($B18="","",IFERROR(INDIRECT("'10_"&amp;$B18&amp;"'!C8"),"#REF"))</f>
        <v/>
      </c>
      <c r="H18" s="12" t="str">
        <f aca="true">IF($B18="","",IFERROR(INDIRECT("'10_"&amp;$B18&amp;"'!C9"),"#REF"))</f>
        <v/>
      </c>
      <c r="I18" s="12" t="str">
        <f aca="true">IF($B18="","",IFERROR(INDIRECT("'10_"&amp;$B18&amp;"'!C21"),"#REF"))</f>
        <v/>
      </c>
      <c r="J18" s="12" t="str">
        <f aca="false">IF($B18="","",HYPERLINK("#'10_"&amp;$B18&amp;"'!A1","10_"&amp;$B18))</f>
        <v/>
      </c>
      <c r="K18" s="12" t="str">
        <f aca="false">IF($B18="","",HYPERLINK("#'11_"&amp;$B18&amp;"'!A1","11_"&amp;$B18))</f>
        <v/>
      </c>
      <c r="L18" s="12" t="str">
        <f aca="false">IF($B18="","",HYPERLINK("#'20_Dashboard'!A1","Dashboard"))</f>
        <v/>
      </c>
    </row>
    <row r="19" customFormat="false" ht="15" hidden="false" customHeight="false" outlineLevel="0" collapsed="false">
      <c r="B19" s="3"/>
      <c r="C19" s="12" t="str">
        <f aca="true">IF($B19="","",IFERROR(INDIRECT("'10_"&amp;$B19&amp;"'!C4"),"#REF"))</f>
        <v/>
      </c>
      <c r="D19" s="12" t="str">
        <f aca="true">IF($B19="","",IFERROR(INDIRECT("'10_"&amp;$B19&amp;"'!C5"),"#REF"))</f>
        <v/>
      </c>
      <c r="E19" s="12" t="str">
        <f aca="true">IF($B19="","",IFERROR(INDIRECT("'10_"&amp;$B19&amp;"'!C6"),"#REF"))</f>
        <v/>
      </c>
      <c r="F19" s="12" t="str">
        <f aca="true">IF($B19="","",IFERROR(INDIRECT("'10_"&amp;$B19&amp;"'!C7"),"#REF"))</f>
        <v/>
      </c>
      <c r="G19" s="13" t="str">
        <f aca="true">IF($B19="","",IFERROR(INDIRECT("'10_"&amp;$B19&amp;"'!C8"),"#REF"))</f>
        <v/>
      </c>
      <c r="H19" s="12" t="str">
        <f aca="true">IF($B19="","",IFERROR(INDIRECT("'10_"&amp;$B19&amp;"'!C9"),"#REF"))</f>
        <v/>
      </c>
      <c r="I19" s="12" t="str">
        <f aca="true">IF($B19="","",IFERROR(INDIRECT("'10_"&amp;$B19&amp;"'!C21"),"#REF"))</f>
        <v/>
      </c>
      <c r="J19" s="12" t="str">
        <f aca="false">IF($B19="","",HYPERLINK("#'10_"&amp;$B19&amp;"'!A1","10_"&amp;$B19))</f>
        <v/>
      </c>
      <c r="K19" s="12" t="str">
        <f aca="false">IF($B19="","",HYPERLINK("#'11_"&amp;$B19&amp;"'!A1","11_"&amp;$B19))</f>
        <v/>
      </c>
      <c r="L19" s="12" t="str">
        <f aca="false">IF($B19="","",HYPERLINK("#'20_Dashboard'!A1","Dashboard"))</f>
        <v/>
      </c>
    </row>
    <row r="20" customFormat="false" ht="15" hidden="false" customHeight="false" outlineLevel="0" collapsed="false">
      <c r="B20" s="3"/>
      <c r="C20" s="12" t="str">
        <f aca="true">IF($B20="","",IFERROR(INDIRECT("'10_"&amp;$B20&amp;"'!C4"),"#REF"))</f>
        <v/>
      </c>
      <c r="D20" s="12" t="str">
        <f aca="true">IF($B20="","",IFERROR(INDIRECT("'10_"&amp;$B20&amp;"'!C5"),"#REF"))</f>
        <v/>
      </c>
      <c r="E20" s="12" t="str">
        <f aca="true">IF($B20="","",IFERROR(INDIRECT("'10_"&amp;$B20&amp;"'!C6"),"#REF"))</f>
        <v/>
      </c>
      <c r="F20" s="12" t="str">
        <f aca="true">IF($B20="","",IFERROR(INDIRECT("'10_"&amp;$B20&amp;"'!C7"),"#REF"))</f>
        <v/>
      </c>
      <c r="G20" s="13" t="str">
        <f aca="true">IF($B20="","",IFERROR(INDIRECT("'10_"&amp;$B20&amp;"'!C8"),"#REF"))</f>
        <v/>
      </c>
      <c r="H20" s="12" t="str">
        <f aca="true">IF($B20="","",IFERROR(INDIRECT("'10_"&amp;$B20&amp;"'!C9"),"#REF"))</f>
        <v/>
      </c>
      <c r="I20" s="12" t="str">
        <f aca="true">IF($B20="","",IFERROR(INDIRECT("'10_"&amp;$B20&amp;"'!C21"),"#REF"))</f>
        <v/>
      </c>
      <c r="J20" s="12" t="str">
        <f aca="false">IF($B20="","",HYPERLINK("#'10_"&amp;$B20&amp;"'!A1","10_"&amp;$B20))</f>
        <v/>
      </c>
      <c r="K20" s="12" t="str">
        <f aca="false">IF($B20="","",HYPERLINK("#'11_"&amp;$B20&amp;"'!A1","11_"&amp;$B20))</f>
        <v/>
      </c>
      <c r="L20" s="12" t="str">
        <f aca="false">IF($B20="","",HYPERLINK("#'20_Dashboard'!A1","Dashboard"))</f>
        <v/>
      </c>
    </row>
    <row r="22" customFormat="false" ht="15" hidden="false" customHeight="false" outlineLevel="0" collapsed="false">
      <c r="B22" s="7" t="s">
        <v>43</v>
      </c>
    </row>
  </sheetData>
  <mergeCells count="1">
    <mergeCell ref="B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B1:E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14"/>
    <col collapsed="false" customWidth="true" hidden="false" outlineLevel="0" max="4" min="4" style="0" width="10"/>
    <col collapsed="false" customWidth="true" hidden="false" outlineLevel="0" max="5" min="5" style="0" width="70"/>
  </cols>
  <sheetData>
    <row r="1" customFormat="false" ht="17.35" hidden="false" customHeight="false" outlineLevel="0" collapsed="false">
      <c r="B1" s="1" t="s">
        <v>44</v>
      </c>
    </row>
    <row r="2" customFormat="false" ht="15" hidden="false" customHeight="false" outlineLevel="0" collapsed="false">
      <c r="B2" s="11" t="s">
        <v>45</v>
      </c>
      <c r="C2" s="11" t="s">
        <v>46</v>
      </c>
      <c r="D2" s="11" t="s">
        <v>47</v>
      </c>
      <c r="E2" s="11" t="s">
        <v>48</v>
      </c>
    </row>
    <row r="3" customFormat="false" ht="15" hidden="false" customHeight="false" outlineLevel="0" collapsed="false">
      <c r="B3" s="14" t="s">
        <v>49</v>
      </c>
      <c r="C3" s="14"/>
      <c r="D3" s="14"/>
      <c r="E3" s="14"/>
    </row>
    <row r="4" customFormat="false" ht="15" hidden="false" customHeight="false" outlineLevel="0" collapsed="false">
      <c r="B4" s="4" t="s">
        <v>50</v>
      </c>
      <c r="C4" s="15" t="n">
        <v>2026</v>
      </c>
      <c r="D4" s="7" t="s">
        <v>51</v>
      </c>
      <c r="E4" s="7" t="s">
        <v>52</v>
      </c>
    </row>
    <row r="5" customFormat="false" ht="15" hidden="false" customHeight="false" outlineLevel="0" collapsed="false">
      <c r="B5" s="4" t="s">
        <v>53</v>
      </c>
      <c r="C5" s="15" t="n">
        <v>20</v>
      </c>
      <c r="D5" s="7" t="s">
        <v>54</v>
      </c>
      <c r="E5" s="7" t="s">
        <v>55</v>
      </c>
    </row>
    <row r="6" customFormat="false" ht="15" hidden="false" customHeight="false" outlineLevel="0" collapsed="false">
      <c r="B6" s="4" t="s">
        <v>56</v>
      </c>
      <c r="C6" s="15" t="n">
        <v>100000</v>
      </c>
      <c r="D6" s="7" t="s">
        <v>57</v>
      </c>
      <c r="E6" s="7" t="s">
        <v>58</v>
      </c>
    </row>
    <row r="7" customFormat="false" ht="15" hidden="false" customHeight="false" outlineLevel="0" collapsed="false">
      <c r="B7" s="4" t="s">
        <v>59</v>
      </c>
      <c r="C7" s="15" t="s">
        <v>60</v>
      </c>
      <c r="D7" s="7" t="s">
        <v>61</v>
      </c>
      <c r="E7" s="7" t="s">
        <v>62</v>
      </c>
    </row>
    <row r="8" customFormat="false" ht="15" hidden="false" customHeight="false" outlineLevel="0" collapsed="false">
      <c r="B8" s="4" t="s">
        <v>63</v>
      </c>
      <c r="C8" s="16" t="n">
        <v>0.2</v>
      </c>
      <c r="D8" s="7" t="s">
        <v>64</v>
      </c>
      <c r="E8" s="7" t="s">
        <v>65</v>
      </c>
    </row>
    <row r="9" customFormat="false" ht="15" hidden="false" customHeight="false" outlineLevel="0" collapsed="false">
      <c r="B9" s="4" t="s">
        <v>66</v>
      </c>
      <c r="C9" s="15" t="n">
        <v>60000</v>
      </c>
      <c r="D9" s="7" t="s">
        <v>57</v>
      </c>
      <c r="E9" s="7" t="s">
        <v>67</v>
      </c>
    </row>
    <row r="10" customFormat="false" ht="15" hidden="false" customHeight="false" outlineLevel="0" collapsed="false">
      <c r="B10" s="4" t="s">
        <v>68</v>
      </c>
      <c r="C10" s="15" t="n">
        <v>0</v>
      </c>
      <c r="D10" s="7" t="s">
        <v>69</v>
      </c>
      <c r="E10" s="7" t="s">
        <v>70</v>
      </c>
    </row>
    <row r="11" customFormat="false" ht="15" hidden="false" customHeight="false" outlineLevel="0" collapsed="false">
      <c r="B11" s="4" t="s">
        <v>71</v>
      </c>
      <c r="C11" s="15" t="s">
        <v>60</v>
      </c>
      <c r="D11" s="7" t="s">
        <v>61</v>
      </c>
      <c r="E11" s="7" t="s">
        <v>72</v>
      </c>
    </row>
    <row r="12" customFormat="false" ht="15" hidden="false" customHeight="false" outlineLevel="0" collapsed="false">
      <c r="B12" s="4" t="s">
        <v>73</v>
      </c>
      <c r="C12" s="16" t="n">
        <v>0.35</v>
      </c>
      <c r="D12" s="7" t="s">
        <v>74</v>
      </c>
      <c r="E12" s="7" t="s">
        <v>75</v>
      </c>
    </row>
    <row r="13" customFormat="false" ht="15" hidden="false" customHeight="false" outlineLevel="0" collapsed="false">
      <c r="B13" s="14" t="s">
        <v>76</v>
      </c>
      <c r="C13" s="14"/>
      <c r="D13" s="14"/>
      <c r="E13" s="14"/>
    </row>
    <row r="14" customFormat="false" ht="15" hidden="false" customHeight="false" outlineLevel="0" collapsed="false">
      <c r="B14" s="4" t="s">
        <v>77</v>
      </c>
      <c r="C14" s="16" t="n">
        <v>0.065</v>
      </c>
      <c r="D14" s="7" t="s">
        <v>64</v>
      </c>
      <c r="E14" s="7" t="s">
        <v>78</v>
      </c>
    </row>
    <row r="15" customFormat="false" ht="15" hidden="false" customHeight="false" outlineLevel="0" collapsed="false">
      <c r="B15" s="4" t="s">
        <v>79</v>
      </c>
      <c r="C15" s="16" t="n">
        <v>0.018</v>
      </c>
      <c r="D15" s="7" t="s">
        <v>64</v>
      </c>
      <c r="E15" s="7" t="s">
        <v>80</v>
      </c>
    </row>
    <row r="16" customFormat="false" ht="15" hidden="false" customHeight="false" outlineLevel="0" collapsed="false">
      <c r="B16" s="4" t="s">
        <v>81</v>
      </c>
      <c r="C16" s="16" t="n">
        <v>0.0357</v>
      </c>
      <c r="D16" s="7" t="s">
        <v>64</v>
      </c>
      <c r="E16" s="7" t="s">
        <v>82</v>
      </c>
    </row>
    <row r="17" customFormat="false" ht="15" hidden="false" customHeight="false" outlineLevel="0" collapsed="false">
      <c r="B17" s="4" t="s">
        <v>83</v>
      </c>
      <c r="C17" s="15" t="n">
        <v>0</v>
      </c>
      <c r="D17" s="7" t="s">
        <v>57</v>
      </c>
      <c r="E17" s="7" t="s">
        <v>84</v>
      </c>
    </row>
    <row r="18" customFormat="false" ht="15" hidden="false" customHeight="false" outlineLevel="0" collapsed="false">
      <c r="B18" s="14" t="s">
        <v>85</v>
      </c>
      <c r="C18" s="14"/>
      <c r="D18" s="14"/>
      <c r="E18" s="14"/>
    </row>
    <row r="19" customFormat="false" ht="15" hidden="false" customHeight="false" outlineLevel="0" collapsed="false">
      <c r="B19" s="4" t="s">
        <v>86</v>
      </c>
      <c r="C19" s="16" t="n">
        <v>0.05</v>
      </c>
      <c r="D19" s="7" t="s">
        <v>87</v>
      </c>
      <c r="E19" s="7" t="s">
        <v>88</v>
      </c>
    </row>
    <row r="20" customFormat="false" ht="15" hidden="false" customHeight="false" outlineLevel="0" collapsed="false">
      <c r="B20" s="4" t="s">
        <v>89</v>
      </c>
      <c r="C20" s="16" t="n">
        <v>0.056</v>
      </c>
      <c r="D20" s="7" t="s">
        <v>87</v>
      </c>
      <c r="E20" s="7" t="s">
        <v>90</v>
      </c>
    </row>
    <row r="21" customFormat="false" ht="15" hidden="false" customHeight="false" outlineLevel="0" collapsed="false">
      <c r="B21" s="4" t="s">
        <v>91</v>
      </c>
      <c r="C21" s="16" t="n">
        <v>0.04</v>
      </c>
      <c r="D21" s="7" t="s">
        <v>87</v>
      </c>
      <c r="E21" s="7" t="s">
        <v>92</v>
      </c>
    </row>
    <row r="22" customFormat="false" ht="15" hidden="false" customHeight="false" outlineLevel="0" collapsed="false">
      <c r="B22" s="4" t="s">
        <v>93</v>
      </c>
      <c r="C22" s="15" t="n">
        <v>1</v>
      </c>
      <c r="D22" s="7" t="s">
        <v>94</v>
      </c>
      <c r="E22" s="7" t="s">
        <v>95</v>
      </c>
    </row>
    <row r="23" customFormat="false" ht="15" hidden="false" customHeight="false" outlineLevel="0" collapsed="false">
      <c r="B23" s="4" t="s">
        <v>96</v>
      </c>
      <c r="C23" s="16" t="n">
        <v>0.12</v>
      </c>
      <c r="D23" s="7" t="s">
        <v>97</v>
      </c>
      <c r="E23" s="7" t="s">
        <v>98</v>
      </c>
    </row>
    <row r="24" customFormat="false" ht="15" hidden="false" customHeight="false" outlineLevel="0" collapsed="false">
      <c r="B24" s="4" t="s">
        <v>99</v>
      </c>
      <c r="C24" s="16" t="n">
        <v>0.03</v>
      </c>
      <c r="D24" s="7" t="s">
        <v>87</v>
      </c>
      <c r="E24" s="7" t="s">
        <v>100</v>
      </c>
    </row>
    <row r="25" customFormat="false" ht="15" hidden="false" customHeight="false" outlineLevel="0" collapsed="false">
      <c r="B25" s="14" t="s">
        <v>101</v>
      </c>
      <c r="C25" s="14"/>
      <c r="D25" s="14"/>
      <c r="E25" s="14"/>
    </row>
    <row r="26" customFormat="false" ht="15" hidden="false" customHeight="false" outlineLevel="0" collapsed="false">
      <c r="B26" s="4" t="s">
        <v>102</v>
      </c>
      <c r="C26" s="16" t="n">
        <v>0.0383</v>
      </c>
      <c r="D26" s="7" t="s">
        <v>103</v>
      </c>
      <c r="E26" s="7" t="s">
        <v>104</v>
      </c>
    </row>
    <row r="27" customFormat="false" ht="15" hidden="false" customHeight="false" outlineLevel="0" collapsed="false">
      <c r="B27" s="4" t="s">
        <v>105</v>
      </c>
      <c r="C27" s="16" t="n">
        <v>0.039</v>
      </c>
      <c r="D27" s="7" t="s">
        <v>103</v>
      </c>
      <c r="E27" s="7" t="s">
        <v>106</v>
      </c>
    </row>
    <row r="28" customFormat="false" ht="15" hidden="false" customHeight="false" outlineLevel="0" collapsed="false">
      <c r="B28" s="4" t="s">
        <v>107</v>
      </c>
      <c r="C28" s="16" t="n">
        <v>0.0419</v>
      </c>
      <c r="D28" s="7" t="s">
        <v>103</v>
      </c>
      <c r="E28" s="7" t="s">
        <v>106</v>
      </c>
    </row>
    <row r="29" customFormat="false" ht="15" hidden="false" customHeight="false" outlineLevel="0" collapsed="false">
      <c r="B29" s="4" t="s">
        <v>108</v>
      </c>
      <c r="C29" s="16" t="n">
        <v>0.0015</v>
      </c>
      <c r="D29" s="7" t="s">
        <v>109</v>
      </c>
      <c r="E29" s="7" t="s">
        <v>110</v>
      </c>
    </row>
    <row r="30" customFormat="false" ht="15" hidden="false" customHeight="false" outlineLevel="0" collapsed="false">
      <c r="B30" s="4" t="s">
        <v>111</v>
      </c>
      <c r="C30" s="15" t="n">
        <v>10</v>
      </c>
      <c r="D30" s="7" t="s">
        <v>54</v>
      </c>
    </row>
    <row r="31" customFormat="false" ht="15" hidden="false" customHeight="false" outlineLevel="0" collapsed="false">
      <c r="B31" s="4" t="s">
        <v>112</v>
      </c>
      <c r="C31" s="16" t="n">
        <v>0.045</v>
      </c>
      <c r="D31" s="7" t="s">
        <v>64</v>
      </c>
      <c r="E31" s="7" t="s">
        <v>113</v>
      </c>
    </row>
    <row r="32" customFormat="false" ht="15" hidden="false" customHeight="false" outlineLevel="0" collapsed="false">
      <c r="B32" s="4" t="s">
        <v>114</v>
      </c>
      <c r="C32" s="15" t="n">
        <v>30</v>
      </c>
      <c r="D32" s="7" t="s">
        <v>54</v>
      </c>
    </row>
    <row r="33" customFormat="false" ht="15" hidden="false" customHeight="false" outlineLevel="0" collapsed="false">
      <c r="B33" s="4" t="s">
        <v>115</v>
      </c>
      <c r="C33" s="16" t="n">
        <v>0.025</v>
      </c>
      <c r="D33" s="7" t="s">
        <v>87</v>
      </c>
      <c r="E33" s="7" t="s">
        <v>116</v>
      </c>
    </row>
    <row r="34" customFormat="false" ht="15" hidden="false" customHeight="false" outlineLevel="0" collapsed="false">
      <c r="B34" s="4" t="s">
        <v>117</v>
      </c>
      <c r="C34" s="16" t="n">
        <v>0.03</v>
      </c>
      <c r="D34" s="7" t="s">
        <v>103</v>
      </c>
      <c r="E34" s="7" t="s">
        <v>118</v>
      </c>
    </row>
    <row r="35" customFormat="false" ht="15" hidden="false" customHeight="false" outlineLevel="0" collapsed="false">
      <c r="B35" s="4" t="s">
        <v>119</v>
      </c>
      <c r="C35" s="15" t="n">
        <v>2</v>
      </c>
      <c r="D35" s="7" t="s">
        <v>54</v>
      </c>
      <c r="E35" s="7" t="s">
        <v>120</v>
      </c>
    </row>
    <row r="36" customFormat="false" ht="15" hidden="false" customHeight="false" outlineLevel="0" collapsed="false">
      <c r="B36" s="4" t="s">
        <v>121</v>
      </c>
      <c r="C36" s="16" t="n">
        <v>0.025</v>
      </c>
      <c r="D36" s="7" t="s">
        <v>103</v>
      </c>
      <c r="E36" s="7" t="s">
        <v>122</v>
      </c>
    </row>
    <row r="37" customFormat="false" ht="15" hidden="false" customHeight="false" outlineLevel="0" collapsed="false">
      <c r="B37" s="4" t="s">
        <v>123</v>
      </c>
      <c r="C37" s="16" t="n">
        <v>0.0025</v>
      </c>
      <c r="D37" s="7" t="s">
        <v>124</v>
      </c>
      <c r="E37" s="7" t="s">
        <v>125</v>
      </c>
    </row>
    <row r="38" customFormat="false" ht="15" hidden="false" customHeight="false" outlineLevel="0" collapsed="false">
      <c r="B38" s="4" t="s">
        <v>126</v>
      </c>
      <c r="C38" s="15" t="n">
        <v>6</v>
      </c>
      <c r="D38" s="7" t="s">
        <v>127</v>
      </c>
      <c r="E38" s="7" t="s">
        <v>128</v>
      </c>
    </row>
    <row r="39" customFormat="false" ht="15" hidden="false" customHeight="false" outlineLevel="0" collapsed="false">
      <c r="B39" s="14" t="s">
        <v>129</v>
      </c>
      <c r="C39" s="14"/>
      <c r="D39" s="14"/>
      <c r="E39" s="14"/>
    </row>
    <row r="40" customFormat="false" ht="15" hidden="false" customHeight="false" outlineLevel="0" collapsed="false">
      <c r="B40" s="4" t="s">
        <v>130</v>
      </c>
      <c r="C40" s="15" t="n">
        <v>2700</v>
      </c>
      <c r="D40" s="7" t="s">
        <v>131</v>
      </c>
      <c r="E40" s="7" t="s">
        <v>132</v>
      </c>
    </row>
    <row r="41" customFormat="false" ht="15" hidden="false" customHeight="false" outlineLevel="0" collapsed="false">
      <c r="B41" s="4" t="s">
        <v>133</v>
      </c>
      <c r="C41" s="15" t="n">
        <v>150</v>
      </c>
      <c r="D41" s="7" t="s">
        <v>131</v>
      </c>
      <c r="E41" s="7" t="s">
        <v>134</v>
      </c>
    </row>
    <row r="42" customFormat="false" ht="15" hidden="false" customHeight="false" outlineLevel="0" collapsed="false">
      <c r="B42" s="4" t="s">
        <v>135</v>
      </c>
      <c r="C42" s="15" t="n">
        <v>300</v>
      </c>
      <c r="D42" s="7" t="s">
        <v>131</v>
      </c>
      <c r="E42" s="7" t="s">
        <v>136</v>
      </c>
    </row>
    <row r="43" customFormat="false" ht="15" hidden="false" customHeight="false" outlineLevel="0" collapsed="false">
      <c r="B43" s="4" t="s">
        <v>137</v>
      </c>
      <c r="C43" s="16" t="n">
        <v>0.17</v>
      </c>
      <c r="D43" s="7" t="s">
        <v>138</v>
      </c>
      <c r="E43" s="7" t="s">
        <v>139</v>
      </c>
    </row>
    <row r="44" customFormat="false" ht="15" hidden="false" customHeight="false" outlineLevel="0" collapsed="false">
      <c r="B44" s="4" t="s">
        <v>140</v>
      </c>
      <c r="C44" s="15" t="n">
        <v>270</v>
      </c>
      <c r="D44" s="7" t="s">
        <v>131</v>
      </c>
    </row>
    <row r="45" customFormat="false" ht="15" hidden="false" customHeight="false" outlineLevel="0" collapsed="false">
      <c r="B45" s="4" t="s">
        <v>141</v>
      </c>
      <c r="C45" s="15" t="n">
        <v>12000</v>
      </c>
      <c r="D45" s="7" t="s">
        <v>142</v>
      </c>
    </row>
    <row r="46" customFormat="false" ht="15" hidden="false" customHeight="false" outlineLevel="0" collapsed="false">
      <c r="B46" s="14" t="s">
        <v>143</v>
      </c>
      <c r="C46" s="14"/>
      <c r="D46" s="14"/>
      <c r="E46" s="14"/>
    </row>
    <row r="47" customFormat="false" ht="15" hidden="false" customHeight="false" outlineLevel="0" collapsed="false">
      <c r="B47" s="4" t="s">
        <v>144</v>
      </c>
      <c r="C47" s="17" t="n">
        <v>0.3</v>
      </c>
      <c r="D47" s="7" t="s">
        <v>145</v>
      </c>
      <c r="E47" s="7" t="s">
        <v>146</v>
      </c>
    </row>
    <row r="48" customFormat="false" ht="15" hidden="false" customHeight="false" outlineLevel="0" collapsed="false">
      <c r="B48" s="4" t="s">
        <v>147</v>
      </c>
      <c r="C48" s="17" t="n">
        <v>0.24</v>
      </c>
      <c r="D48" s="7" t="s">
        <v>145</v>
      </c>
      <c r="E48" s="7" t="s">
        <v>148</v>
      </c>
    </row>
    <row r="49" customFormat="false" ht="15" hidden="false" customHeight="false" outlineLevel="0" collapsed="false">
      <c r="B49" s="4" t="s">
        <v>149</v>
      </c>
      <c r="C49" s="17" t="n">
        <v>0.1</v>
      </c>
      <c r="D49" s="7" t="s">
        <v>145</v>
      </c>
      <c r="E49" s="7" t="s">
        <v>150</v>
      </c>
    </row>
    <row r="50" customFormat="false" ht="15" hidden="false" customHeight="false" outlineLevel="0" collapsed="false">
      <c r="B50" s="4" t="s">
        <v>151</v>
      </c>
      <c r="C50" s="17" t="n">
        <v>0.139</v>
      </c>
      <c r="D50" s="7" t="s">
        <v>145</v>
      </c>
      <c r="E50" s="7" t="s">
        <v>152</v>
      </c>
    </row>
    <row r="51" customFormat="false" ht="15" hidden="false" customHeight="false" outlineLevel="0" collapsed="false">
      <c r="B51" s="4" t="s">
        <v>153</v>
      </c>
      <c r="C51" s="17" t="n">
        <v>0.099</v>
      </c>
      <c r="D51" s="7" t="s">
        <v>145</v>
      </c>
      <c r="E51" s="7" t="s">
        <v>154</v>
      </c>
    </row>
    <row r="52" customFormat="false" ht="15" hidden="false" customHeight="false" outlineLevel="0" collapsed="false">
      <c r="B52" s="4" t="s">
        <v>155</v>
      </c>
      <c r="C52" s="17" t="n">
        <v>0.12</v>
      </c>
      <c r="D52" s="7" t="s">
        <v>145</v>
      </c>
      <c r="E52" s="7" t="s">
        <v>156</v>
      </c>
    </row>
    <row r="53" customFormat="false" ht="15" hidden="false" customHeight="false" outlineLevel="0" collapsed="false">
      <c r="B53" s="4" t="s">
        <v>157</v>
      </c>
      <c r="C53" s="17" t="n">
        <v>0.077</v>
      </c>
      <c r="D53" s="7" t="s">
        <v>145</v>
      </c>
      <c r="E53" s="7" t="s">
        <v>158</v>
      </c>
    </row>
    <row r="54" customFormat="false" ht="15" hidden="false" customHeight="false" outlineLevel="0" collapsed="false">
      <c r="B54" s="4" t="s">
        <v>159</v>
      </c>
      <c r="C54" s="15" t="n">
        <v>950</v>
      </c>
      <c r="D54" s="7" t="s">
        <v>160</v>
      </c>
      <c r="E54" s="7" t="s">
        <v>161</v>
      </c>
    </row>
    <row r="55" customFormat="false" ht="15" hidden="false" customHeight="false" outlineLevel="0" collapsed="false">
      <c r="B55" s="4" t="s">
        <v>162</v>
      </c>
      <c r="C55" s="15" t="n">
        <v>0.85</v>
      </c>
      <c r="D55" s="7" t="s">
        <v>94</v>
      </c>
      <c r="E55" s="7" t="s">
        <v>163</v>
      </c>
    </row>
    <row r="56" customFormat="false" ht="15" hidden="false" customHeight="false" outlineLevel="0" collapsed="false">
      <c r="B56" s="4" t="s">
        <v>164</v>
      </c>
      <c r="C56" s="15" t="n">
        <v>5.5</v>
      </c>
      <c r="D56" s="7" t="s">
        <v>165</v>
      </c>
    </row>
    <row r="57" customFormat="false" ht="15" hidden="false" customHeight="false" outlineLevel="0" collapsed="false">
      <c r="B57" s="4" t="s">
        <v>166</v>
      </c>
      <c r="C57" s="16" t="n">
        <v>0.5</v>
      </c>
      <c r="D57" s="7" t="s">
        <v>64</v>
      </c>
      <c r="E57" s="7" t="s">
        <v>167</v>
      </c>
    </row>
    <row r="58" customFormat="false" ht="15" hidden="false" customHeight="false" outlineLevel="0" collapsed="false">
      <c r="B58" s="4" t="s">
        <v>168</v>
      </c>
      <c r="C58" s="16" t="n">
        <v>0.7</v>
      </c>
      <c r="D58" s="7" t="s">
        <v>64</v>
      </c>
    </row>
    <row r="59" customFormat="false" ht="15" hidden="false" customHeight="false" outlineLevel="0" collapsed="false">
      <c r="B59" s="4" t="s">
        <v>169</v>
      </c>
      <c r="C59" s="15" t="n">
        <v>1</v>
      </c>
      <c r="D59" s="7" t="s">
        <v>170</v>
      </c>
      <c r="E59" s="7" t="s">
        <v>171</v>
      </c>
    </row>
    <row r="60" customFormat="false" ht="15" hidden="false" customHeight="false" outlineLevel="0" collapsed="false">
      <c r="B60" s="4" t="s">
        <v>172</v>
      </c>
      <c r="C60" s="15" t="n">
        <v>4.5</v>
      </c>
      <c r="D60" s="7" t="s">
        <v>173</v>
      </c>
    </row>
    <row r="61" customFormat="false" ht="15" hidden="false" customHeight="false" outlineLevel="0" collapsed="false">
      <c r="B61" s="4" t="s">
        <v>174</v>
      </c>
      <c r="C61" s="15" t="n">
        <v>3.8</v>
      </c>
      <c r="D61" s="7" t="s">
        <v>173</v>
      </c>
      <c r="E61" s="7" t="s">
        <v>175</v>
      </c>
    </row>
    <row r="62" customFormat="false" ht="15" hidden="false" customHeight="false" outlineLevel="0" collapsed="false">
      <c r="B62" s="4" t="s">
        <v>176</v>
      </c>
      <c r="C62" s="15" t="n">
        <v>3</v>
      </c>
      <c r="D62" s="7" t="s">
        <v>173</v>
      </c>
      <c r="E62" s="7" t="s">
        <v>177</v>
      </c>
    </row>
    <row r="63" customFormat="false" ht="15" hidden="false" customHeight="false" outlineLevel="0" collapsed="false">
      <c r="B63" s="4" t="s">
        <v>178</v>
      </c>
      <c r="C63" s="15" t="n">
        <v>1000</v>
      </c>
      <c r="D63" s="7" t="s">
        <v>179</v>
      </c>
      <c r="E63" s="7" t="s">
        <v>180</v>
      </c>
    </row>
    <row r="64" customFormat="false" ht="15" hidden="false" customHeight="false" outlineLevel="0" collapsed="false">
      <c r="B64" s="4" t="s">
        <v>181</v>
      </c>
      <c r="C64" s="15" t="n">
        <v>1300</v>
      </c>
      <c r="D64" s="7" t="s">
        <v>179</v>
      </c>
      <c r="E64" s="7" t="s">
        <v>182</v>
      </c>
    </row>
    <row r="65" customFormat="false" ht="15" hidden="false" customHeight="false" outlineLevel="0" collapsed="false">
      <c r="B65" s="4" t="s">
        <v>183</v>
      </c>
      <c r="C65" s="15" t="n">
        <v>3</v>
      </c>
      <c r="D65" s="7" t="s">
        <v>69</v>
      </c>
    </row>
    <row r="66" customFormat="false" ht="15" hidden="false" customHeight="false" outlineLevel="0" collapsed="false">
      <c r="B66" s="4" t="s">
        <v>184</v>
      </c>
      <c r="C66" s="15" t="n">
        <v>344</v>
      </c>
      <c r="D66" s="7" t="s">
        <v>185</v>
      </c>
      <c r="E66" s="7" t="s">
        <v>186</v>
      </c>
    </row>
    <row r="67" customFormat="false" ht="15" hidden="false" customHeight="false" outlineLevel="0" collapsed="false">
      <c r="B67" s="4" t="s">
        <v>187</v>
      </c>
      <c r="C67" s="15" t="n">
        <v>201</v>
      </c>
      <c r="D67" s="7" t="s">
        <v>185</v>
      </c>
    </row>
    <row r="68" customFormat="false" ht="15" hidden="false" customHeight="false" outlineLevel="0" collapsed="false">
      <c r="B68" s="4" t="s">
        <v>188</v>
      </c>
      <c r="C68" s="15" t="n">
        <v>266</v>
      </c>
      <c r="D68" s="7" t="s">
        <v>185</v>
      </c>
    </row>
    <row r="69" customFormat="false" ht="15" hidden="false" customHeight="false" outlineLevel="0" collapsed="false">
      <c r="B69" s="4" t="s">
        <v>189</v>
      </c>
      <c r="C69" s="15" t="n">
        <v>21</v>
      </c>
      <c r="D69" s="7" t="s">
        <v>185</v>
      </c>
    </row>
    <row r="70" customFormat="false" ht="15" hidden="false" customHeight="false" outlineLevel="0" collapsed="false">
      <c r="B70" s="4" t="s">
        <v>190</v>
      </c>
      <c r="C70" s="15" t="n">
        <v>180</v>
      </c>
      <c r="D70" s="7" t="s">
        <v>185</v>
      </c>
      <c r="E70" s="7" t="s">
        <v>191</v>
      </c>
    </row>
    <row r="71" customFormat="false" ht="15" hidden="false" customHeight="false" outlineLevel="0" collapsed="false">
      <c r="B71" s="4" t="s">
        <v>192</v>
      </c>
      <c r="C71" s="15" t="n">
        <v>344</v>
      </c>
      <c r="D71" s="7" t="s">
        <v>185</v>
      </c>
      <c r="E71" s="7" t="s">
        <v>193</v>
      </c>
    </row>
    <row r="72" customFormat="false" ht="15" hidden="false" customHeight="false" outlineLevel="0" collapsed="false">
      <c r="B72" s="14" t="s">
        <v>194</v>
      </c>
      <c r="C72" s="14"/>
      <c r="D72" s="14"/>
      <c r="E72" s="14"/>
    </row>
    <row r="73" customFormat="false" ht="15" hidden="false" customHeight="false" outlineLevel="0" collapsed="false">
      <c r="B73" s="4" t="s">
        <v>195</v>
      </c>
      <c r="C73" s="15" t="n">
        <v>1.3</v>
      </c>
      <c r="D73" s="7" t="s">
        <v>196</v>
      </c>
      <c r="E73" s="7" t="s">
        <v>197</v>
      </c>
    </row>
    <row r="74" customFormat="false" ht="15" hidden="false" customHeight="false" outlineLevel="0" collapsed="false">
      <c r="B74" s="4" t="s">
        <v>198</v>
      </c>
      <c r="C74" s="15" t="n">
        <v>1.05</v>
      </c>
      <c r="D74" s="7" t="s">
        <v>196</v>
      </c>
    </row>
    <row r="75" customFormat="false" ht="15" hidden="false" customHeight="false" outlineLevel="0" collapsed="false">
      <c r="B75" s="4" t="s">
        <v>199</v>
      </c>
      <c r="C75" s="15" t="n">
        <v>4.1</v>
      </c>
      <c r="D75" s="7" t="s">
        <v>200</v>
      </c>
      <c r="E75" s="7" t="s">
        <v>201</v>
      </c>
    </row>
    <row r="76" customFormat="false" ht="15" hidden="false" customHeight="false" outlineLevel="0" collapsed="false">
      <c r="B76" s="4" t="s">
        <v>202</v>
      </c>
      <c r="C76" s="15" t="n">
        <v>2.9</v>
      </c>
      <c r="D76" s="7" t="s">
        <v>203</v>
      </c>
    </row>
    <row r="77" customFormat="false" ht="15" hidden="false" customHeight="false" outlineLevel="0" collapsed="false">
      <c r="B77" s="4" t="s">
        <v>204</v>
      </c>
      <c r="C77" s="16" t="n">
        <v>0.15</v>
      </c>
      <c r="D77" s="7" t="s">
        <v>64</v>
      </c>
      <c r="E77" s="7" t="s">
        <v>205</v>
      </c>
    </row>
    <row r="78" customFormat="false" ht="15" hidden="false" customHeight="false" outlineLevel="0" collapsed="false">
      <c r="B78" s="4" t="s">
        <v>206</v>
      </c>
      <c r="C78" s="15" t="n">
        <v>1.7</v>
      </c>
      <c r="D78" s="7" t="s">
        <v>207</v>
      </c>
    </row>
    <row r="79" customFormat="false" ht="15" hidden="false" customHeight="false" outlineLevel="0" collapsed="false">
      <c r="B79" s="4" t="s">
        <v>208</v>
      </c>
      <c r="C79" s="15" t="n">
        <v>1.15</v>
      </c>
      <c r="D79" s="7" t="s">
        <v>94</v>
      </c>
    </row>
    <row r="80" customFormat="false" ht="15" hidden="false" customHeight="false" outlineLevel="0" collapsed="false">
      <c r="B80" s="4" t="s">
        <v>209</v>
      </c>
      <c r="C80" s="16" t="n">
        <v>0.9</v>
      </c>
      <c r="D80" s="7" t="s">
        <v>210</v>
      </c>
    </row>
    <row r="81" customFormat="false" ht="15" hidden="false" customHeight="false" outlineLevel="0" collapsed="false">
      <c r="B81" s="4" t="s">
        <v>211</v>
      </c>
      <c r="C81" s="15" t="n">
        <v>0.0666666666666667</v>
      </c>
      <c r="D81" s="7" t="s">
        <v>212</v>
      </c>
      <c r="E81" s="7" t="s">
        <v>213</v>
      </c>
    </row>
    <row r="82" customFormat="false" ht="15" hidden="false" customHeight="false" outlineLevel="0" collapsed="false">
      <c r="B82" s="4" t="s">
        <v>214</v>
      </c>
      <c r="C82" s="15" t="n">
        <v>0.05</v>
      </c>
      <c r="D82" s="7" t="s">
        <v>212</v>
      </c>
    </row>
    <row r="83" customFormat="false" ht="15" hidden="false" customHeight="false" outlineLevel="0" collapsed="false">
      <c r="B83" s="4" t="s">
        <v>215</v>
      </c>
      <c r="C83" s="15" t="n">
        <v>0.0555555555555556</v>
      </c>
      <c r="D83" s="7" t="s">
        <v>212</v>
      </c>
    </row>
    <row r="84" customFormat="false" ht="15" hidden="false" customHeight="false" outlineLevel="0" collapsed="false">
      <c r="B84" s="14" t="s">
        <v>216</v>
      </c>
      <c r="C84" s="14"/>
      <c r="D84" s="14"/>
      <c r="E84" s="14"/>
    </row>
    <row r="85" customFormat="false" ht="15" hidden="false" customHeight="false" outlineLevel="0" collapsed="false">
      <c r="B85" s="4" t="s">
        <v>217</v>
      </c>
      <c r="C85" s="15" t="n">
        <v>0</v>
      </c>
      <c r="D85" s="7" t="s">
        <v>218</v>
      </c>
      <c r="E85" s="7" t="s">
        <v>219</v>
      </c>
    </row>
    <row r="86" customFormat="false" ht="15" hidden="false" customHeight="false" outlineLevel="0" collapsed="false">
      <c r="B86" s="4" t="s">
        <v>220</v>
      </c>
      <c r="C86" s="16" t="n">
        <v>0.55</v>
      </c>
      <c r="D86" s="7" t="s">
        <v>64</v>
      </c>
    </row>
    <row r="87" customFormat="false" ht="15" hidden="false" customHeight="false" outlineLevel="0" collapsed="false">
      <c r="B87" s="4" t="s">
        <v>221</v>
      </c>
      <c r="C87" s="16" t="n">
        <v>0.15</v>
      </c>
      <c r="D87" s="7" t="s">
        <v>97</v>
      </c>
    </row>
  </sheetData>
  <mergeCells count="8">
    <mergeCell ref="B3:E3"/>
    <mergeCell ref="B13:E13"/>
    <mergeCell ref="B18:E18"/>
    <mergeCell ref="B25:E25"/>
    <mergeCell ref="B39:E39"/>
    <mergeCell ref="B46:E46"/>
    <mergeCell ref="B72:E72"/>
    <mergeCell ref="B84:E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B1:N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20"/>
    <col collapsed="false" customWidth="true" hidden="false" outlineLevel="0" max="4" min="4" style="0" width="46"/>
    <col collapsed="false" customWidth="true" hidden="false" outlineLevel="0" max="5" min="5" style="0" width="20"/>
    <col collapsed="false" customWidth="true" hidden="false" outlineLevel="0" max="6" min="6" style="0" width="14"/>
    <col collapsed="false" customWidth="true" hidden="false" outlineLevel="0" max="8" min="7" style="0" width="12"/>
    <col collapsed="false" customWidth="true" hidden="false" outlineLevel="0" max="9" min="9" style="0" width="26"/>
    <col collapsed="false" customWidth="true" hidden="false" outlineLevel="0" max="11" min="10" style="0" width="12"/>
    <col collapsed="false" customWidth="true" hidden="false" outlineLevel="0" max="13" min="12" style="0" width="14"/>
    <col collapsed="false" customWidth="true" hidden="false" outlineLevel="0" max="14" min="14" style="0" width="55"/>
  </cols>
  <sheetData>
    <row r="1" customFormat="false" ht="17.35" hidden="false" customHeight="false" outlineLevel="0" collapsed="false">
      <c r="B1" s="1" t="s">
        <v>222</v>
      </c>
    </row>
    <row r="3" customFormat="false" ht="35.05" hidden="false" customHeight="false" outlineLevel="0" collapsed="false">
      <c r="B3" s="11" t="s">
        <v>223</v>
      </c>
      <c r="C3" s="11" t="s">
        <v>224</v>
      </c>
      <c r="D3" s="11" t="s">
        <v>225</v>
      </c>
      <c r="E3" s="11" t="s">
        <v>47</v>
      </c>
      <c r="F3" s="11" t="s">
        <v>226</v>
      </c>
      <c r="G3" s="11" t="s">
        <v>227</v>
      </c>
      <c r="H3" s="11" t="s">
        <v>228</v>
      </c>
      <c r="I3" s="11" t="s">
        <v>229</v>
      </c>
      <c r="J3" s="11" t="s">
        <v>230</v>
      </c>
      <c r="K3" s="11" t="s">
        <v>231</v>
      </c>
      <c r="L3" s="11" t="s">
        <v>232</v>
      </c>
      <c r="M3" s="11" t="s">
        <v>233</v>
      </c>
      <c r="N3" s="11" t="s">
        <v>48</v>
      </c>
    </row>
    <row r="4" customFormat="false" ht="91" hidden="false" customHeight="false" outlineLevel="0" collapsed="false">
      <c r="B4" s="18" t="s">
        <v>234</v>
      </c>
      <c r="C4" s="18" t="s">
        <v>235</v>
      </c>
      <c r="D4" s="19" t="s">
        <v>236</v>
      </c>
      <c r="E4" s="18" t="s">
        <v>237</v>
      </c>
      <c r="F4" s="20" t="n">
        <v>520</v>
      </c>
      <c r="G4" s="18" t="n">
        <v>55</v>
      </c>
      <c r="H4" s="18" t="s">
        <v>60</v>
      </c>
      <c r="I4" s="18" t="s">
        <v>238</v>
      </c>
      <c r="J4" s="18" t="s">
        <v>60</v>
      </c>
      <c r="K4" s="18" t="s">
        <v>60</v>
      </c>
      <c r="L4" s="18" t="s">
        <v>239</v>
      </c>
      <c r="M4" s="18" t="s">
        <v>239</v>
      </c>
      <c r="N4" s="19" t="s">
        <v>240</v>
      </c>
    </row>
    <row r="5" customFormat="false" ht="23.85" hidden="false" customHeight="false" outlineLevel="0" collapsed="false">
      <c r="B5" s="18" t="s">
        <v>241</v>
      </c>
      <c r="C5" s="18" t="s">
        <v>235</v>
      </c>
      <c r="D5" s="19" t="s">
        <v>242</v>
      </c>
      <c r="E5" s="18" t="s">
        <v>237</v>
      </c>
      <c r="F5" s="20" t="n">
        <v>250</v>
      </c>
      <c r="G5" s="18" t="n">
        <v>20</v>
      </c>
      <c r="H5" s="18" t="s">
        <v>60</v>
      </c>
      <c r="I5" s="18" t="s">
        <v>238</v>
      </c>
      <c r="J5" s="18" t="s">
        <v>60</v>
      </c>
      <c r="K5" s="18" t="s">
        <v>60</v>
      </c>
      <c r="L5" s="18" t="s">
        <v>239</v>
      </c>
      <c r="M5" s="18" t="s">
        <v>239</v>
      </c>
      <c r="N5" s="19" t="s">
        <v>243</v>
      </c>
    </row>
    <row r="6" customFormat="false" ht="23.85" hidden="false" customHeight="false" outlineLevel="0" collapsed="false">
      <c r="B6" s="18" t="s">
        <v>244</v>
      </c>
      <c r="C6" s="18" t="s">
        <v>235</v>
      </c>
      <c r="D6" s="19" t="s">
        <v>245</v>
      </c>
      <c r="E6" s="18" t="s">
        <v>246</v>
      </c>
      <c r="F6" s="20" t="n">
        <v>27</v>
      </c>
      <c r="G6" s="18" t="n">
        <v>40</v>
      </c>
      <c r="H6" s="18" t="s">
        <v>60</v>
      </c>
      <c r="I6" s="18" t="s">
        <v>238</v>
      </c>
      <c r="J6" s="18" t="s">
        <v>60</v>
      </c>
      <c r="K6" s="18" t="s">
        <v>60</v>
      </c>
      <c r="L6" s="18" t="s">
        <v>239</v>
      </c>
      <c r="M6" s="18" t="s">
        <v>60</v>
      </c>
      <c r="N6" s="19" t="s">
        <v>247</v>
      </c>
    </row>
    <row r="7" customFormat="false" ht="23.85" hidden="false" customHeight="false" outlineLevel="0" collapsed="false">
      <c r="B7" s="18" t="s">
        <v>248</v>
      </c>
      <c r="C7" s="18" t="s">
        <v>235</v>
      </c>
      <c r="D7" s="19" t="s">
        <v>249</v>
      </c>
      <c r="E7" s="18" t="s">
        <v>250</v>
      </c>
      <c r="F7" s="20" t="n">
        <v>180</v>
      </c>
      <c r="G7" s="18" t="n">
        <v>40</v>
      </c>
      <c r="H7" s="18" t="s">
        <v>60</v>
      </c>
      <c r="I7" s="18" t="s">
        <v>238</v>
      </c>
      <c r="J7" s="18" t="s">
        <v>60</v>
      </c>
      <c r="K7" s="18" t="s">
        <v>60</v>
      </c>
      <c r="L7" s="18" t="s">
        <v>239</v>
      </c>
      <c r="M7" s="18" t="s">
        <v>239</v>
      </c>
      <c r="N7" s="19" t="s">
        <v>251</v>
      </c>
    </row>
    <row r="8" customFormat="false" ht="15" hidden="false" customHeight="false" outlineLevel="0" collapsed="false">
      <c r="B8" s="18" t="s">
        <v>252</v>
      </c>
      <c r="C8" s="18" t="s">
        <v>235</v>
      </c>
      <c r="D8" s="19" t="s">
        <v>253</v>
      </c>
      <c r="E8" s="18" t="s">
        <v>254</v>
      </c>
      <c r="F8" s="20" t="n">
        <v>285</v>
      </c>
      <c r="G8" s="18" t="n">
        <v>37</v>
      </c>
      <c r="H8" s="18" t="s">
        <v>60</v>
      </c>
      <c r="I8" s="18" t="s">
        <v>238</v>
      </c>
      <c r="J8" s="18" t="s">
        <v>60</v>
      </c>
      <c r="K8" s="18" t="s">
        <v>60</v>
      </c>
      <c r="L8" s="18" t="s">
        <v>239</v>
      </c>
      <c r="M8" s="18" t="s">
        <v>239</v>
      </c>
      <c r="N8" s="19" t="s">
        <v>255</v>
      </c>
    </row>
    <row r="9" customFormat="false" ht="15" hidden="false" customHeight="false" outlineLevel="0" collapsed="false">
      <c r="B9" s="18" t="s">
        <v>256</v>
      </c>
      <c r="C9" s="18" t="s">
        <v>235</v>
      </c>
      <c r="D9" s="19" t="s">
        <v>257</v>
      </c>
      <c r="E9" s="18" t="s">
        <v>258</v>
      </c>
      <c r="F9" s="20" t="n">
        <v>2800</v>
      </c>
      <c r="G9" s="18" t="n">
        <v>45</v>
      </c>
      <c r="H9" s="18" t="s">
        <v>60</v>
      </c>
      <c r="I9" s="18" t="s">
        <v>238</v>
      </c>
      <c r="J9" s="18" t="s">
        <v>239</v>
      </c>
      <c r="K9" s="18" t="s">
        <v>239</v>
      </c>
      <c r="L9" s="18" t="s">
        <v>239</v>
      </c>
      <c r="M9" s="18" t="s">
        <v>239</v>
      </c>
      <c r="N9" s="19" t="s">
        <v>259</v>
      </c>
    </row>
    <row r="10" customFormat="false" ht="15" hidden="false" customHeight="false" outlineLevel="0" collapsed="false">
      <c r="B10" s="18" t="s">
        <v>260</v>
      </c>
      <c r="C10" s="18" t="s">
        <v>235</v>
      </c>
      <c r="D10" s="19" t="s">
        <v>261</v>
      </c>
      <c r="E10" s="18" t="s">
        <v>258</v>
      </c>
      <c r="F10" s="20" t="n">
        <v>1000</v>
      </c>
      <c r="G10" s="18" t="n">
        <v>45</v>
      </c>
      <c r="H10" s="18" t="s">
        <v>60</v>
      </c>
      <c r="I10" s="18" t="s">
        <v>238</v>
      </c>
      <c r="J10" s="18" t="s">
        <v>239</v>
      </c>
      <c r="K10" s="18" t="s">
        <v>239</v>
      </c>
      <c r="L10" s="18" t="s">
        <v>239</v>
      </c>
      <c r="M10" s="18" t="s">
        <v>239</v>
      </c>
      <c r="N10" s="19" t="s">
        <v>259</v>
      </c>
    </row>
    <row r="11" customFormat="false" ht="15" hidden="false" customHeight="false" outlineLevel="0" collapsed="false">
      <c r="B11" s="18" t="s">
        <v>262</v>
      </c>
      <c r="C11" s="18" t="s">
        <v>235</v>
      </c>
      <c r="D11" s="19" t="s">
        <v>263</v>
      </c>
      <c r="E11" s="18" t="s">
        <v>264</v>
      </c>
      <c r="F11" s="20" t="n">
        <v>850</v>
      </c>
      <c r="G11" s="18" t="n">
        <v>30</v>
      </c>
      <c r="H11" s="18" t="s">
        <v>60</v>
      </c>
      <c r="I11" s="18" t="s">
        <v>238</v>
      </c>
      <c r="J11" s="18" t="s">
        <v>239</v>
      </c>
      <c r="K11" s="18" t="s">
        <v>239</v>
      </c>
      <c r="L11" s="18" t="s">
        <v>239</v>
      </c>
      <c r="M11" s="18" t="s">
        <v>239</v>
      </c>
      <c r="N11" s="19" t="s">
        <v>259</v>
      </c>
    </row>
    <row r="12" customFormat="false" ht="15" hidden="false" customHeight="false" outlineLevel="0" collapsed="false">
      <c r="B12" s="18" t="s">
        <v>265</v>
      </c>
      <c r="C12" s="18" t="s">
        <v>235</v>
      </c>
      <c r="D12" s="19" t="s">
        <v>266</v>
      </c>
      <c r="E12" s="18" t="s">
        <v>246</v>
      </c>
      <c r="F12" s="20" t="n">
        <v>32</v>
      </c>
      <c r="G12" s="18" t="n">
        <v>40</v>
      </c>
      <c r="H12" s="18" t="s">
        <v>60</v>
      </c>
      <c r="I12" s="18" t="s">
        <v>238</v>
      </c>
      <c r="J12" s="18" t="s">
        <v>60</v>
      </c>
      <c r="K12" s="18" t="s">
        <v>60</v>
      </c>
      <c r="L12" s="18" t="s">
        <v>239</v>
      </c>
      <c r="M12" s="18" t="s">
        <v>60</v>
      </c>
      <c r="N12" s="19" t="s">
        <v>267</v>
      </c>
    </row>
    <row r="13" customFormat="false" ht="23.85" hidden="false" customHeight="false" outlineLevel="0" collapsed="false">
      <c r="B13" s="18" t="s">
        <v>268</v>
      </c>
      <c r="C13" s="18" t="s">
        <v>235</v>
      </c>
      <c r="D13" s="19" t="s">
        <v>269</v>
      </c>
      <c r="E13" s="18" t="s">
        <v>270</v>
      </c>
      <c r="F13" s="20" t="n">
        <v>300</v>
      </c>
      <c r="G13" s="18" t="n">
        <v>40</v>
      </c>
      <c r="H13" s="18" t="s">
        <v>60</v>
      </c>
      <c r="I13" s="18" t="s">
        <v>238</v>
      </c>
      <c r="J13" s="18" t="s">
        <v>239</v>
      </c>
      <c r="K13" s="18" t="s">
        <v>239</v>
      </c>
      <c r="L13" s="18" t="s">
        <v>239</v>
      </c>
      <c r="M13" s="18" t="s">
        <v>239</v>
      </c>
      <c r="N13" s="19" t="s">
        <v>271</v>
      </c>
    </row>
    <row r="14" customFormat="false" ht="15" hidden="false" customHeight="false" outlineLevel="0" collapsed="false">
      <c r="B14" s="18" t="s">
        <v>272</v>
      </c>
      <c r="C14" s="18" t="s">
        <v>235</v>
      </c>
      <c r="D14" s="19" t="s">
        <v>273</v>
      </c>
      <c r="E14" s="18" t="s">
        <v>142</v>
      </c>
      <c r="F14" s="20" t="n">
        <v>2700</v>
      </c>
      <c r="G14" s="18" t="n">
        <v>0</v>
      </c>
      <c r="H14" s="18" t="s">
        <v>239</v>
      </c>
      <c r="I14" s="18" t="s">
        <v>173</v>
      </c>
      <c r="J14" s="18" t="s">
        <v>239</v>
      </c>
      <c r="K14" s="18" t="s">
        <v>239</v>
      </c>
      <c r="L14" s="18" t="s">
        <v>239</v>
      </c>
      <c r="M14" s="18" t="s">
        <v>239</v>
      </c>
      <c r="N14" s="19" t="s">
        <v>274</v>
      </c>
    </row>
    <row r="15" customFormat="false" ht="15" hidden="false" customHeight="false" outlineLevel="0" collapsed="false">
      <c r="B15" s="18" t="s">
        <v>275</v>
      </c>
      <c r="C15" s="18" t="s">
        <v>235</v>
      </c>
      <c r="D15" s="19" t="s">
        <v>276</v>
      </c>
      <c r="E15" s="18" t="s">
        <v>142</v>
      </c>
      <c r="F15" s="20" t="n">
        <v>1140</v>
      </c>
      <c r="G15" s="18" t="n">
        <v>0</v>
      </c>
      <c r="H15" s="18" t="s">
        <v>60</v>
      </c>
      <c r="I15" s="18" t="s">
        <v>277</v>
      </c>
      <c r="J15" s="18" t="s">
        <v>60</v>
      </c>
      <c r="K15" s="18" t="s">
        <v>60</v>
      </c>
      <c r="L15" s="18" t="s">
        <v>239</v>
      </c>
      <c r="M15" s="18" t="s">
        <v>239</v>
      </c>
      <c r="N15" s="19" t="s">
        <v>278</v>
      </c>
    </row>
    <row r="16" customFormat="false" ht="23.85" hidden="false" customHeight="false" outlineLevel="0" collapsed="false">
      <c r="B16" s="18" t="s">
        <v>279</v>
      </c>
      <c r="C16" s="18" t="s">
        <v>280</v>
      </c>
      <c r="D16" s="19" t="s">
        <v>281</v>
      </c>
      <c r="E16" s="18" t="s">
        <v>282</v>
      </c>
      <c r="F16" s="20" t="n">
        <v>22500</v>
      </c>
      <c r="G16" s="18" t="n">
        <v>15</v>
      </c>
      <c r="H16" s="18" t="s">
        <v>60</v>
      </c>
      <c r="I16" s="18" t="s">
        <v>283</v>
      </c>
      <c r="J16" s="18" t="s">
        <v>60</v>
      </c>
      <c r="K16" s="18" t="s">
        <v>60</v>
      </c>
      <c r="L16" s="18" t="s">
        <v>239</v>
      </c>
      <c r="M16" s="18" t="s">
        <v>239</v>
      </c>
      <c r="N16" s="19" t="s">
        <v>284</v>
      </c>
    </row>
    <row r="17" customFormat="false" ht="15" hidden="false" customHeight="false" outlineLevel="0" collapsed="false">
      <c r="B17" s="18" t="s">
        <v>285</v>
      </c>
      <c r="C17" s="18" t="s">
        <v>280</v>
      </c>
      <c r="D17" s="19" t="s">
        <v>286</v>
      </c>
      <c r="E17" s="18" t="s">
        <v>282</v>
      </c>
      <c r="F17" s="20" t="n">
        <v>28500</v>
      </c>
      <c r="G17" s="18" t="n">
        <v>27</v>
      </c>
      <c r="H17" s="18" t="s">
        <v>60</v>
      </c>
      <c r="I17" s="18" t="s">
        <v>283</v>
      </c>
      <c r="J17" s="18" t="s">
        <v>239</v>
      </c>
      <c r="K17" s="18" t="s">
        <v>239</v>
      </c>
      <c r="L17" s="18" t="s">
        <v>239</v>
      </c>
      <c r="M17" s="18" t="s">
        <v>239</v>
      </c>
      <c r="N17" s="19" t="s">
        <v>287</v>
      </c>
    </row>
    <row r="18" customFormat="false" ht="23.85" hidden="false" customHeight="false" outlineLevel="0" collapsed="false">
      <c r="B18" s="18" t="s">
        <v>288</v>
      </c>
      <c r="C18" s="18" t="s">
        <v>280</v>
      </c>
      <c r="D18" s="19" t="s">
        <v>289</v>
      </c>
      <c r="E18" s="18" t="s">
        <v>246</v>
      </c>
      <c r="F18" s="20" t="n">
        <v>65</v>
      </c>
      <c r="G18" s="18" t="n">
        <v>45</v>
      </c>
      <c r="H18" s="18" t="s">
        <v>60</v>
      </c>
      <c r="I18" s="18" t="s">
        <v>238</v>
      </c>
      <c r="J18" s="18" t="s">
        <v>60</v>
      </c>
      <c r="K18" s="18" t="s">
        <v>60</v>
      </c>
      <c r="L18" s="18" t="s">
        <v>239</v>
      </c>
      <c r="M18" s="18" t="s">
        <v>239</v>
      </c>
      <c r="N18" s="19" t="s">
        <v>247</v>
      </c>
    </row>
    <row r="19" customFormat="false" ht="23.85" hidden="false" customHeight="false" outlineLevel="0" collapsed="false">
      <c r="B19" s="18" t="s">
        <v>290</v>
      </c>
      <c r="C19" s="18" t="s">
        <v>280</v>
      </c>
      <c r="D19" s="19" t="s">
        <v>291</v>
      </c>
      <c r="E19" s="18" t="s">
        <v>258</v>
      </c>
      <c r="F19" s="20" t="n">
        <v>830</v>
      </c>
      <c r="G19" s="18" t="n">
        <v>35</v>
      </c>
      <c r="H19" s="18" t="s">
        <v>60</v>
      </c>
      <c r="I19" s="18" t="s">
        <v>238</v>
      </c>
      <c r="J19" s="18" t="s">
        <v>239</v>
      </c>
      <c r="K19" s="18" t="s">
        <v>239</v>
      </c>
      <c r="L19" s="18" t="s">
        <v>239</v>
      </c>
      <c r="M19" s="18" t="s">
        <v>60</v>
      </c>
      <c r="N19" s="19" t="s">
        <v>292</v>
      </c>
    </row>
    <row r="20" customFormat="false" ht="15" hidden="false" customHeight="false" outlineLevel="0" collapsed="false">
      <c r="B20" s="18" t="s">
        <v>293</v>
      </c>
      <c r="C20" s="18" t="s">
        <v>280</v>
      </c>
      <c r="D20" s="19" t="s">
        <v>294</v>
      </c>
      <c r="E20" s="18" t="s">
        <v>142</v>
      </c>
      <c r="F20" s="20" t="n">
        <v>1125</v>
      </c>
      <c r="G20" s="18" t="n">
        <v>0</v>
      </c>
      <c r="H20" s="18" t="s">
        <v>60</v>
      </c>
      <c r="I20" s="18" t="s">
        <v>295</v>
      </c>
      <c r="J20" s="18" t="s">
        <v>60</v>
      </c>
      <c r="K20" s="18" t="s">
        <v>60</v>
      </c>
      <c r="L20" s="18" t="s">
        <v>239</v>
      </c>
      <c r="M20" s="18" t="s">
        <v>239</v>
      </c>
      <c r="N20" s="19" t="s">
        <v>296</v>
      </c>
    </row>
    <row r="21" customFormat="false" ht="15" hidden="false" customHeight="false" outlineLevel="0" collapsed="false">
      <c r="B21" s="18" t="s">
        <v>297</v>
      </c>
      <c r="C21" s="18" t="s">
        <v>280</v>
      </c>
      <c r="D21" s="19" t="s">
        <v>298</v>
      </c>
      <c r="E21" s="18" t="s">
        <v>131</v>
      </c>
      <c r="F21" s="20" t="n">
        <v>111</v>
      </c>
      <c r="G21" s="18" t="n">
        <v>25</v>
      </c>
      <c r="H21" s="18" t="s">
        <v>60</v>
      </c>
      <c r="I21" s="18" t="s">
        <v>238</v>
      </c>
      <c r="J21" s="18" t="s">
        <v>60</v>
      </c>
      <c r="K21" s="18" t="s">
        <v>60</v>
      </c>
      <c r="L21" s="18" t="s">
        <v>239</v>
      </c>
      <c r="M21" s="18" t="s">
        <v>239</v>
      </c>
      <c r="N21" s="19" t="s">
        <v>299</v>
      </c>
    </row>
    <row r="22" customFormat="false" ht="15" hidden="false" customHeight="false" outlineLevel="0" collapsed="false">
      <c r="B22" s="18" t="s">
        <v>300</v>
      </c>
      <c r="C22" s="18" t="s">
        <v>280</v>
      </c>
      <c r="D22" s="19" t="s">
        <v>301</v>
      </c>
      <c r="E22" s="18" t="s">
        <v>142</v>
      </c>
      <c r="F22" s="20" t="n">
        <v>3500</v>
      </c>
      <c r="G22" s="18" t="n">
        <v>39</v>
      </c>
      <c r="H22" s="18" t="s">
        <v>239</v>
      </c>
      <c r="I22" s="18" t="s">
        <v>173</v>
      </c>
      <c r="J22" s="18" t="s">
        <v>239</v>
      </c>
      <c r="K22" s="18" t="s">
        <v>239</v>
      </c>
      <c r="L22" s="18" t="s">
        <v>239</v>
      </c>
      <c r="M22" s="18" t="s">
        <v>239</v>
      </c>
      <c r="N22" s="19" t="s">
        <v>302</v>
      </c>
    </row>
    <row r="23" customFormat="false" ht="15" hidden="false" customHeight="false" outlineLevel="0" collapsed="false">
      <c r="B23" s="18" t="s">
        <v>303</v>
      </c>
      <c r="C23" s="18" t="s">
        <v>280</v>
      </c>
      <c r="D23" s="19" t="s">
        <v>304</v>
      </c>
      <c r="E23" s="18" t="s">
        <v>142</v>
      </c>
      <c r="F23" s="20" t="n">
        <v>2700</v>
      </c>
      <c r="G23" s="18" t="n">
        <v>40</v>
      </c>
      <c r="H23" s="18" t="s">
        <v>239</v>
      </c>
      <c r="I23" s="18" t="s">
        <v>173</v>
      </c>
      <c r="J23" s="18" t="s">
        <v>239</v>
      </c>
      <c r="K23" s="18" t="s">
        <v>239</v>
      </c>
      <c r="L23" s="18" t="s">
        <v>239</v>
      </c>
      <c r="M23" s="18" t="s">
        <v>239</v>
      </c>
      <c r="N23" s="19" t="s">
        <v>305</v>
      </c>
    </row>
    <row r="24" customFormat="false" ht="15" hidden="false" customHeight="false" outlineLevel="0" collapsed="false">
      <c r="B24" s="18" t="s">
        <v>306</v>
      </c>
      <c r="C24" s="18" t="s">
        <v>307</v>
      </c>
      <c r="D24" s="19" t="s">
        <v>308</v>
      </c>
      <c r="E24" s="18" t="s">
        <v>131</v>
      </c>
      <c r="F24" s="20" t="n">
        <v>105</v>
      </c>
      <c r="G24" s="18" t="n">
        <v>40</v>
      </c>
      <c r="H24" s="18" t="s">
        <v>239</v>
      </c>
      <c r="I24" s="18" t="s">
        <v>173</v>
      </c>
      <c r="J24" s="18" t="s">
        <v>239</v>
      </c>
      <c r="K24" s="18" t="s">
        <v>239</v>
      </c>
      <c r="L24" s="18" t="s">
        <v>239</v>
      </c>
      <c r="M24" s="18" t="s">
        <v>239</v>
      </c>
      <c r="N24" s="19" t="s">
        <v>259</v>
      </c>
    </row>
    <row r="25" customFormat="false" ht="15" hidden="false" customHeight="false" outlineLevel="0" collapsed="false">
      <c r="B25" s="18" t="s">
        <v>309</v>
      </c>
      <c r="C25" s="18" t="s">
        <v>307</v>
      </c>
      <c r="D25" s="19" t="s">
        <v>310</v>
      </c>
      <c r="E25" s="18" t="s">
        <v>142</v>
      </c>
      <c r="F25" s="20" t="n">
        <v>900</v>
      </c>
      <c r="G25" s="18" t="n">
        <v>40</v>
      </c>
      <c r="H25" s="18" t="s">
        <v>239</v>
      </c>
      <c r="I25" s="18" t="s">
        <v>173</v>
      </c>
      <c r="J25" s="18" t="s">
        <v>239</v>
      </c>
      <c r="K25" s="18" t="s">
        <v>239</v>
      </c>
      <c r="L25" s="18" t="s">
        <v>239</v>
      </c>
      <c r="M25" s="18" t="s">
        <v>239</v>
      </c>
      <c r="N25" s="19" t="s">
        <v>311</v>
      </c>
    </row>
    <row r="26" customFormat="false" ht="15" hidden="false" customHeight="false" outlineLevel="0" collapsed="false">
      <c r="B26" s="18" t="s">
        <v>312</v>
      </c>
      <c r="C26" s="18" t="s">
        <v>307</v>
      </c>
      <c r="D26" s="19" t="s">
        <v>313</v>
      </c>
      <c r="E26" s="18" t="s">
        <v>314</v>
      </c>
      <c r="F26" s="20" t="n">
        <v>15000</v>
      </c>
      <c r="G26" s="18" t="n">
        <v>32</v>
      </c>
      <c r="H26" s="18" t="s">
        <v>239</v>
      </c>
      <c r="I26" s="18" t="s">
        <v>173</v>
      </c>
      <c r="J26" s="18" t="s">
        <v>239</v>
      </c>
      <c r="K26" s="18" t="s">
        <v>239</v>
      </c>
      <c r="L26" s="18" t="s">
        <v>239</v>
      </c>
      <c r="M26" s="18" t="s">
        <v>239</v>
      </c>
      <c r="N26" s="19" t="s">
        <v>315</v>
      </c>
    </row>
    <row r="27" customFormat="false" ht="15" hidden="false" customHeight="false" outlineLevel="0" collapsed="false">
      <c r="B27" s="18" t="s">
        <v>316</v>
      </c>
      <c r="C27" s="18" t="s">
        <v>307</v>
      </c>
      <c r="D27" s="19" t="s">
        <v>317</v>
      </c>
      <c r="E27" s="18" t="s">
        <v>142</v>
      </c>
      <c r="F27" s="20" t="n">
        <v>6000</v>
      </c>
      <c r="G27" s="18" t="n">
        <v>32</v>
      </c>
      <c r="H27" s="18" t="s">
        <v>239</v>
      </c>
      <c r="I27" s="18" t="s">
        <v>173</v>
      </c>
      <c r="J27" s="18" t="s">
        <v>239</v>
      </c>
      <c r="K27" s="18" t="s">
        <v>239</v>
      </c>
      <c r="L27" s="18" t="s">
        <v>239</v>
      </c>
      <c r="M27" s="18" t="s">
        <v>239</v>
      </c>
      <c r="N27" s="19" t="s">
        <v>318</v>
      </c>
    </row>
    <row r="28" customFormat="false" ht="15" hidden="false" customHeight="false" outlineLevel="0" collapsed="false">
      <c r="B28" s="18" t="s">
        <v>319</v>
      </c>
      <c r="C28" s="18" t="s">
        <v>307</v>
      </c>
      <c r="D28" s="19" t="s">
        <v>320</v>
      </c>
      <c r="E28" s="18" t="s">
        <v>321</v>
      </c>
      <c r="F28" s="20" t="n">
        <v>45</v>
      </c>
      <c r="G28" s="18" t="n">
        <v>20</v>
      </c>
      <c r="H28" s="18" t="s">
        <v>239</v>
      </c>
      <c r="I28" s="18" t="s">
        <v>173</v>
      </c>
      <c r="J28" s="18" t="s">
        <v>239</v>
      </c>
      <c r="K28" s="18" t="s">
        <v>239</v>
      </c>
      <c r="L28" s="18" t="s">
        <v>239</v>
      </c>
      <c r="M28" s="18" t="s">
        <v>60</v>
      </c>
      <c r="N28" s="19" t="s">
        <v>292</v>
      </c>
    </row>
    <row r="29" customFormat="false" ht="15" hidden="false" customHeight="false" outlineLevel="0" collapsed="false">
      <c r="B29" s="18" t="s">
        <v>322</v>
      </c>
      <c r="C29" s="18" t="s">
        <v>307</v>
      </c>
      <c r="D29" s="19" t="s">
        <v>323</v>
      </c>
      <c r="E29" s="18" t="s">
        <v>258</v>
      </c>
      <c r="F29" s="20" t="n">
        <v>600</v>
      </c>
      <c r="G29" s="18" t="n">
        <v>55</v>
      </c>
      <c r="H29" s="18" t="s">
        <v>239</v>
      </c>
      <c r="I29" s="18" t="s">
        <v>173</v>
      </c>
      <c r="J29" s="18" t="s">
        <v>239</v>
      </c>
      <c r="K29" s="18" t="s">
        <v>239</v>
      </c>
      <c r="L29" s="18" t="s">
        <v>239</v>
      </c>
      <c r="M29" s="18" t="s">
        <v>60</v>
      </c>
      <c r="N29" s="19" t="s">
        <v>292</v>
      </c>
    </row>
    <row r="30" customFormat="false" ht="15" hidden="false" customHeight="false" outlineLevel="0" collapsed="false">
      <c r="B30" s="18" t="s">
        <v>324</v>
      </c>
      <c r="C30" s="18" t="s">
        <v>307</v>
      </c>
      <c r="D30" s="19" t="s">
        <v>325</v>
      </c>
      <c r="E30" s="18" t="s">
        <v>131</v>
      </c>
      <c r="F30" s="20" t="n">
        <v>120</v>
      </c>
      <c r="G30" s="18" t="n">
        <v>35</v>
      </c>
      <c r="H30" s="18" t="s">
        <v>239</v>
      </c>
      <c r="I30" s="18" t="s">
        <v>173</v>
      </c>
      <c r="J30" s="18" t="s">
        <v>239</v>
      </c>
      <c r="K30" s="18" t="s">
        <v>239</v>
      </c>
      <c r="L30" s="18" t="s">
        <v>239</v>
      </c>
      <c r="M30" s="18" t="s">
        <v>60</v>
      </c>
      <c r="N30" s="19" t="s">
        <v>326</v>
      </c>
    </row>
    <row r="31" customFormat="false" ht="15" hidden="false" customHeight="false" outlineLevel="0" collapsed="false">
      <c r="B31" s="18" t="s">
        <v>327</v>
      </c>
      <c r="C31" s="18" t="s">
        <v>307</v>
      </c>
      <c r="D31" s="19" t="s">
        <v>328</v>
      </c>
      <c r="E31" s="18" t="s">
        <v>142</v>
      </c>
      <c r="F31" s="20" t="n">
        <v>3200</v>
      </c>
      <c r="G31" s="18" t="n">
        <v>0</v>
      </c>
      <c r="H31" s="18" t="s">
        <v>239</v>
      </c>
      <c r="I31" s="18" t="s">
        <v>173</v>
      </c>
      <c r="J31" s="18" t="s">
        <v>239</v>
      </c>
      <c r="K31" s="18" t="s">
        <v>239</v>
      </c>
      <c r="L31" s="18" t="s">
        <v>239</v>
      </c>
      <c r="M31" s="18" t="s">
        <v>239</v>
      </c>
      <c r="N31" s="19" t="s">
        <v>329</v>
      </c>
    </row>
    <row r="32" customFormat="false" ht="15" hidden="false" customHeight="false" outlineLevel="0" collapsed="false">
      <c r="B32" s="18" t="s">
        <v>330</v>
      </c>
      <c r="C32" s="18" t="s">
        <v>307</v>
      </c>
      <c r="D32" s="19" t="s">
        <v>331</v>
      </c>
      <c r="E32" s="18" t="s">
        <v>258</v>
      </c>
      <c r="F32" s="20" t="n">
        <v>2900</v>
      </c>
      <c r="G32" s="18" t="n">
        <v>0</v>
      </c>
      <c r="H32" s="18" t="s">
        <v>239</v>
      </c>
      <c r="I32" s="18" t="s">
        <v>173</v>
      </c>
      <c r="J32" s="18" t="s">
        <v>239</v>
      </c>
      <c r="K32" s="18" t="s">
        <v>239</v>
      </c>
      <c r="L32" s="18" t="s">
        <v>239</v>
      </c>
      <c r="M32" s="18" t="s">
        <v>239</v>
      </c>
      <c r="N32" s="19" t="s">
        <v>332</v>
      </c>
    </row>
    <row r="33" customFormat="false" ht="15" hidden="false" customHeight="false" outlineLevel="0" collapsed="false">
      <c r="B33" s="18" t="s">
        <v>333</v>
      </c>
      <c r="C33" s="18" t="s">
        <v>307</v>
      </c>
      <c r="D33" s="19" t="s">
        <v>334</v>
      </c>
      <c r="E33" s="18" t="s">
        <v>131</v>
      </c>
      <c r="F33" s="20" t="n">
        <v>95</v>
      </c>
      <c r="G33" s="18" t="n">
        <v>0</v>
      </c>
      <c r="H33" s="18" t="s">
        <v>239</v>
      </c>
      <c r="I33" s="18" t="s">
        <v>173</v>
      </c>
      <c r="J33" s="18" t="s">
        <v>239</v>
      </c>
      <c r="K33" s="18" t="s">
        <v>239</v>
      </c>
      <c r="L33" s="18" t="s">
        <v>239</v>
      </c>
      <c r="M33" s="18" t="s">
        <v>239</v>
      </c>
      <c r="N33" s="19" t="s">
        <v>335</v>
      </c>
    </row>
    <row r="34" customFormat="false" ht="15" hidden="false" customHeight="false" outlineLevel="0" collapsed="false">
      <c r="B34" s="18" t="s">
        <v>336</v>
      </c>
      <c r="C34" s="18" t="s">
        <v>337</v>
      </c>
      <c r="D34" s="19" t="s">
        <v>338</v>
      </c>
      <c r="E34" s="18" t="s">
        <v>237</v>
      </c>
      <c r="F34" s="20" t="n">
        <v>40</v>
      </c>
      <c r="G34" s="18" t="n">
        <v>0</v>
      </c>
      <c r="H34" s="18" t="s">
        <v>239</v>
      </c>
      <c r="I34" s="18" t="s">
        <v>173</v>
      </c>
      <c r="J34" s="18" t="s">
        <v>239</v>
      </c>
      <c r="K34" s="18" t="s">
        <v>239</v>
      </c>
      <c r="L34" s="18" t="s">
        <v>239</v>
      </c>
      <c r="M34" s="18" t="s">
        <v>239</v>
      </c>
      <c r="N34" s="19" t="s">
        <v>339</v>
      </c>
    </row>
    <row r="35" customFormat="false" ht="15" hidden="false" customHeight="false" outlineLevel="0" collapsed="false">
      <c r="B35" s="18" t="s">
        <v>340</v>
      </c>
      <c r="C35" s="18" t="s">
        <v>337</v>
      </c>
      <c r="D35" s="19" t="s">
        <v>341</v>
      </c>
      <c r="E35" s="18" t="s">
        <v>131</v>
      </c>
      <c r="F35" s="20" t="n">
        <v>40</v>
      </c>
      <c r="G35" s="18" t="n">
        <v>0</v>
      </c>
      <c r="H35" s="18" t="s">
        <v>239</v>
      </c>
      <c r="I35" s="18" t="s">
        <v>173</v>
      </c>
      <c r="J35" s="18" t="s">
        <v>239</v>
      </c>
      <c r="K35" s="18" t="s">
        <v>239</v>
      </c>
      <c r="L35" s="18" t="s">
        <v>239</v>
      </c>
      <c r="M35" s="18" t="s">
        <v>239</v>
      </c>
      <c r="N35" s="19" t="s">
        <v>342</v>
      </c>
    </row>
    <row r="36" customFormat="false" ht="15" hidden="false" customHeight="false" outlineLevel="0" collapsed="false">
      <c r="B36" s="18" t="s">
        <v>343</v>
      </c>
      <c r="C36" s="18" t="s">
        <v>337</v>
      </c>
      <c r="D36" s="19" t="s">
        <v>344</v>
      </c>
      <c r="E36" s="18" t="s">
        <v>345</v>
      </c>
      <c r="F36" s="20" t="n">
        <v>220</v>
      </c>
      <c r="G36" s="18" t="n">
        <v>0</v>
      </c>
      <c r="H36" s="18" t="s">
        <v>239</v>
      </c>
      <c r="I36" s="18" t="s">
        <v>173</v>
      </c>
      <c r="J36" s="18" t="s">
        <v>239</v>
      </c>
      <c r="K36" s="18" t="s">
        <v>239</v>
      </c>
      <c r="L36" s="18" t="s">
        <v>239</v>
      </c>
      <c r="M36" s="18" t="s">
        <v>239</v>
      </c>
      <c r="N36" s="19" t="s">
        <v>259</v>
      </c>
    </row>
    <row r="37" customFormat="false" ht="15" hidden="false" customHeight="false" outlineLevel="0" collapsed="false">
      <c r="B37" s="18" t="s">
        <v>346</v>
      </c>
      <c r="C37" s="18" t="s">
        <v>337</v>
      </c>
      <c r="D37" s="19" t="s">
        <v>347</v>
      </c>
      <c r="E37" s="18" t="s">
        <v>142</v>
      </c>
      <c r="F37" s="20" t="n">
        <v>1500</v>
      </c>
      <c r="G37" s="18" t="n">
        <v>0</v>
      </c>
      <c r="H37" s="18" t="s">
        <v>239</v>
      </c>
      <c r="I37" s="18" t="s">
        <v>173</v>
      </c>
      <c r="J37" s="18" t="s">
        <v>239</v>
      </c>
      <c r="K37" s="18" t="s">
        <v>239</v>
      </c>
      <c r="L37" s="18" t="s">
        <v>239</v>
      </c>
      <c r="M37" s="18" t="s">
        <v>239</v>
      </c>
      <c r="N37" s="19" t="s">
        <v>348</v>
      </c>
    </row>
    <row r="38" customFormat="false" ht="15" hidden="false" customHeight="false" outlineLevel="0" collapsed="false">
      <c r="B38" s="18" t="s">
        <v>349</v>
      </c>
      <c r="C38" s="18" t="s">
        <v>337</v>
      </c>
      <c r="D38" s="19" t="s">
        <v>350</v>
      </c>
      <c r="E38" s="18" t="s">
        <v>351</v>
      </c>
      <c r="F38" s="20" t="n">
        <v>300</v>
      </c>
      <c r="G38" s="18" t="n">
        <v>0</v>
      </c>
      <c r="H38" s="18" t="s">
        <v>239</v>
      </c>
      <c r="I38" s="18" t="s">
        <v>173</v>
      </c>
      <c r="J38" s="18" t="s">
        <v>239</v>
      </c>
      <c r="K38" s="18" t="s">
        <v>239</v>
      </c>
      <c r="L38" s="18" t="s">
        <v>239</v>
      </c>
      <c r="M38" s="18" t="s">
        <v>239</v>
      </c>
      <c r="N38" s="19" t="s">
        <v>352</v>
      </c>
    </row>
    <row r="39" customFormat="false" ht="23.85" hidden="false" customHeight="false" outlineLevel="0" collapsed="false">
      <c r="B39" s="18" t="s">
        <v>353</v>
      </c>
      <c r="C39" s="18" t="s">
        <v>337</v>
      </c>
      <c r="D39" s="19" t="s">
        <v>354</v>
      </c>
      <c r="E39" s="18" t="s">
        <v>142</v>
      </c>
      <c r="F39" s="20" t="n">
        <v>300</v>
      </c>
      <c r="G39" s="18" t="n">
        <v>0</v>
      </c>
      <c r="H39" s="18" t="s">
        <v>239</v>
      </c>
      <c r="I39" s="18" t="s">
        <v>173</v>
      </c>
      <c r="J39" s="18" t="s">
        <v>239</v>
      </c>
      <c r="K39" s="18" t="s">
        <v>239</v>
      </c>
      <c r="L39" s="18" t="s">
        <v>239</v>
      </c>
      <c r="M39" s="18" t="s">
        <v>239</v>
      </c>
      <c r="N39" s="19" t="s">
        <v>355</v>
      </c>
    </row>
    <row r="40" customFormat="false" ht="23.85" hidden="false" customHeight="false" outlineLevel="0" collapsed="false">
      <c r="B40" s="18" t="s">
        <v>356</v>
      </c>
      <c r="C40" s="18" t="s">
        <v>232</v>
      </c>
      <c r="D40" s="19" t="s">
        <v>357</v>
      </c>
      <c r="E40" s="18" t="s">
        <v>358</v>
      </c>
      <c r="F40" s="20" t="n">
        <v>1200</v>
      </c>
      <c r="G40" s="18" t="n">
        <v>25</v>
      </c>
      <c r="H40" s="18" t="s">
        <v>239</v>
      </c>
      <c r="I40" s="18" t="s">
        <v>359</v>
      </c>
      <c r="J40" s="18" t="s">
        <v>239</v>
      </c>
      <c r="K40" s="18" t="s">
        <v>239</v>
      </c>
      <c r="L40" s="18" t="s">
        <v>60</v>
      </c>
      <c r="M40" s="18" t="s">
        <v>239</v>
      </c>
      <c r="N40" s="19" t="s">
        <v>360</v>
      </c>
    </row>
    <row r="41" customFormat="false" ht="15" hidden="false" customHeight="false" outlineLevel="0" collapsed="false">
      <c r="B41" s="18" t="s">
        <v>361</v>
      </c>
      <c r="C41" s="18" t="s">
        <v>232</v>
      </c>
      <c r="D41" s="19" t="s">
        <v>362</v>
      </c>
      <c r="E41" s="18" t="s">
        <v>145</v>
      </c>
      <c r="F41" s="20" t="n">
        <v>350</v>
      </c>
      <c r="G41" s="18" t="n">
        <v>18</v>
      </c>
      <c r="H41" s="18" t="s">
        <v>239</v>
      </c>
      <c r="I41" s="18" t="s">
        <v>359</v>
      </c>
      <c r="J41" s="18" t="s">
        <v>239</v>
      </c>
      <c r="K41" s="18" t="s">
        <v>239</v>
      </c>
      <c r="L41" s="18" t="s">
        <v>60</v>
      </c>
      <c r="M41" s="18" t="s">
        <v>239</v>
      </c>
      <c r="N41" s="19" t="s">
        <v>363</v>
      </c>
    </row>
    <row r="42" customFormat="false" ht="15" hidden="false" customHeight="false" outlineLevel="0" collapsed="false">
      <c r="B42" s="18" t="s">
        <v>364</v>
      </c>
      <c r="C42" s="18" t="s">
        <v>232</v>
      </c>
      <c r="D42" s="19" t="s">
        <v>365</v>
      </c>
      <c r="E42" s="18" t="s">
        <v>142</v>
      </c>
      <c r="F42" s="20" t="n">
        <v>1500</v>
      </c>
      <c r="G42" s="18" t="n">
        <v>15</v>
      </c>
      <c r="H42" s="18" t="s">
        <v>60</v>
      </c>
      <c r="I42" s="18" t="s">
        <v>366</v>
      </c>
      <c r="J42" s="18" t="s">
        <v>239</v>
      </c>
      <c r="K42" s="18" t="s">
        <v>239</v>
      </c>
      <c r="L42" s="18" t="s">
        <v>60</v>
      </c>
      <c r="M42" s="18" t="s">
        <v>239</v>
      </c>
      <c r="N42" s="19" t="s">
        <v>367</v>
      </c>
    </row>
    <row r="43" customFormat="false" ht="15" hidden="false" customHeight="false" outlineLevel="0" collapsed="false">
      <c r="B43" s="18" t="s">
        <v>368</v>
      </c>
      <c r="C43" s="18" t="s">
        <v>232</v>
      </c>
      <c r="D43" s="19" t="s">
        <v>369</v>
      </c>
      <c r="E43" s="18" t="s">
        <v>142</v>
      </c>
      <c r="F43" s="20" t="n">
        <v>2500</v>
      </c>
      <c r="G43" s="18" t="n">
        <v>15</v>
      </c>
      <c r="H43" s="18" t="s">
        <v>239</v>
      </c>
      <c r="I43" s="18" t="s">
        <v>173</v>
      </c>
      <c r="J43" s="18" t="s">
        <v>239</v>
      </c>
      <c r="K43" s="18" t="s">
        <v>239</v>
      </c>
      <c r="L43" s="18" t="s">
        <v>60</v>
      </c>
      <c r="M43" s="18" t="s">
        <v>239</v>
      </c>
      <c r="N43" s="19" t="s">
        <v>370</v>
      </c>
    </row>
    <row r="44" customFormat="false" ht="23.85" hidden="false" customHeight="false" outlineLevel="0" collapsed="false">
      <c r="B44" s="18" t="s">
        <v>371</v>
      </c>
      <c r="C44" s="18" t="s">
        <v>372</v>
      </c>
      <c r="D44" s="19" t="s">
        <v>373</v>
      </c>
      <c r="E44" s="18" t="s">
        <v>374</v>
      </c>
      <c r="F44" s="20" t="n">
        <v>250</v>
      </c>
      <c r="G44" s="18" t="n">
        <v>25</v>
      </c>
      <c r="H44" s="18" t="s">
        <v>239</v>
      </c>
      <c r="I44" s="18" t="s">
        <v>173</v>
      </c>
      <c r="J44" s="18" t="s">
        <v>239</v>
      </c>
      <c r="K44" s="18" t="s">
        <v>239</v>
      </c>
      <c r="L44" s="18" t="s">
        <v>239</v>
      </c>
      <c r="M44" s="18" t="s">
        <v>239</v>
      </c>
      <c r="N44" s="19" t="s">
        <v>375</v>
      </c>
    </row>
    <row r="45" customFormat="false" ht="23.85" hidden="false" customHeight="false" outlineLevel="0" collapsed="false">
      <c r="B45" s="18" t="s">
        <v>376</v>
      </c>
      <c r="C45" s="18" t="s">
        <v>372</v>
      </c>
      <c r="D45" s="19" t="s">
        <v>377</v>
      </c>
      <c r="E45" s="18" t="s">
        <v>131</v>
      </c>
      <c r="F45" s="20" t="n">
        <v>130</v>
      </c>
      <c r="G45" s="18" t="n">
        <v>25</v>
      </c>
      <c r="H45" s="18" t="s">
        <v>239</v>
      </c>
      <c r="I45" s="18" t="s">
        <v>378</v>
      </c>
      <c r="J45" s="18" t="s">
        <v>239</v>
      </c>
      <c r="K45" s="18" t="s">
        <v>239</v>
      </c>
      <c r="L45" s="18" t="s">
        <v>239</v>
      </c>
      <c r="M45" s="18" t="s">
        <v>239</v>
      </c>
      <c r="N45" s="19" t="s">
        <v>379</v>
      </c>
    </row>
    <row r="46" customFormat="false" ht="15" hidden="false" customHeight="false" outlineLevel="0" collapsed="false">
      <c r="B46" s="18" t="s">
        <v>380</v>
      </c>
      <c r="C46" s="18" t="s">
        <v>372</v>
      </c>
      <c r="D46" s="19" t="s">
        <v>381</v>
      </c>
      <c r="E46" s="18" t="s">
        <v>382</v>
      </c>
      <c r="F46" s="20" t="n">
        <v>100</v>
      </c>
      <c r="G46" s="18" t="n">
        <v>25</v>
      </c>
      <c r="H46" s="18" t="s">
        <v>239</v>
      </c>
      <c r="I46" s="18" t="s">
        <v>383</v>
      </c>
      <c r="J46" s="18" t="s">
        <v>239</v>
      </c>
      <c r="K46" s="18" t="s">
        <v>239</v>
      </c>
      <c r="L46" s="18" t="s">
        <v>239</v>
      </c>
      <c r="M46" s="18" t="s">
        <v>239</v>
      </c>
      <c r="N46" s="19" t="s">
        <v>384</v>
      </c>
    </row>
    <row r="47" customFormat="false" ht="15" hidden="false" customHeight="false" outlineLevel="0" collapsed="false">
      <c r="B47" s="18" t="s">
        <v>385</v>
      </c>
      <c r="C47" s="18" t="s">
        <v>386</v>
      </c>
      <c r="D47" s="19" t="s">
        <v>387</v>
      </c>
      <c r="E47" s="18" t="s">
        <v>246</v>
      </c>
      <c r="F47" s="20" t="n">
        <v>120</v>
      </c>
      <c r="G47" s="18" t="n">
        <v>36</v>
      </c>
      <c r="H47" s="18" t="s">
        <v>239</v>
      </c>
      <c r="I47" s="18" t="s">
        <v>173</v>
      </c>
      <c r="J47" s="18" t="s">
        <v>239</v>
      </c>
      <c r="K47" s="18" t="s">
        <v>239</v>
      </c>
      <c r="L47" s="18" t="s">
        <v>239</v>
      </c>
      <c r="M47" s="18" t="s">
        <v>239</v>
      </c>
      <c r="N47" s="19" t="s">
        <v>259</v>
      </c>
    </row>
    <row r="48" customFormat="false" ht="15" hidden="false" customHeight="false" outlineLevel="0" collapsed="false">
      <c r="B48" s="18" t="s">
        <v>388</v>
      </c>
      <c r="C48" s="18" t="s">
        <v>386</v>
      </c>
      <c r="D48" s="19" t="s">
        <v>389</v>
      </c>
      <c r="E48" s="18" t="s">
        <v>246</v>
      </c>
      <c r="F48" s="20" t="n">
        <v>110</v>
      </c>
      <c r="G48" s="18" t="n">
        <v>30</v>
      </c>
      <c r="H48" s="18" t="s">
        <v>239</v>
      </c>
      <c r="I48" s="18" t="s">
        <v>173</v>
      </c>
      <c r="J48" s="18" t="s">
        <v>239</v>
      </c>
      <c r="K48" s="18" t="s">
        <v>239</v>
      </c>
      <c r="L48" s="18" t="s">
        <v>239</v>
      </c>
      <c r="M48" s="18" t="s">
        <v>239</v>
      </c>
      <c r="N48" s="19" t="s">
        <v>259</v>
      </c>
    </row>
    <row r="49" customFormat="false" ht="15" hidden="false" customHeight="false" outlineLevel="0" collapsed="false">
      <c r="B49" s="18" t="s">
        <v>390</v>
      </c>
      <c r="C49" s="18" t="s">
        <v>386</v>
      </c>
      <c r="D49" s="19" t="s">
        <v>391</v>
      </c>
      <c r="E49" s="18" t="s">
        <v>392</v>
      </c>
      <c r="F49" s="20" t="n">
        <v>60</v>
      </c>
      <c r="G49" s="18" t="n">
        <v>25</v>
      </c>
      <c r="H49" s="18" t="s">
        <v>239</v>
      </c>
      <c r="I49" s="18" t="s">
        <v>173</v>
      </c>
      <c r="J49" s="18" t="s">
        <v>239</v>
      </c>
      <c r="K49" s="18" t="s">
        <v>239</v>
      </c>
      <c r="L49" s="18" t="s">
        <v>239</v>
      </c>
      <c r="M49" s="18" t="s">
        <v>60</v>
      </c>
      <c r="N49" s="19" t="s">
        <v>259</v>
      </c>
    </row>
    <row r="50" customFormat="false" ht="15" hidden="false" customHeight="false" outlineLevel="0" collapsed="false">
      <c r="B50" s="18" t="s">
        <v>393</v>
      </c>
      <c r="C50" s="18" t="s">
        <v>386</v>
      </c>
      <c r="D50" s="19" t="s">
        <v>394</v>
      </c>
      <c r="E50" s="18" t="s">
        <v>142</v>
      </c>
      <c r="F50" s="20" t="n">
        <v>11000</v>
      </c>
      <c r="G50" s="18" t="n">
        <v>40</v>
      </c>
      <c r="H50" s="18" t="s">
        <v>239</v>
      </c>
      <c r="I50" s="18" t="s">
        <v>173</v>
      </c>
      <c r="J50" s="18" t="s">
        <v>239</v>
      </c>
      <c r="K50" s="18" t="s">
        <v>239</v>
      </c>
      <c r="L50" s="18" t="s">
        <v>239</v>
      </c>
      <c r="M50" s="18" t="s">
        <v>239</v>
      </c>
      <c r="N50" s="19" t="s">
        <v>259</v>
      </c>
    </row>
    <row r="51" customFormat="false" ht="15" hidden="false" customHeight="false" outlineLevel="0" collapsed="false">
      <c r="B51" s="18" t="s">
        <v>395</v>
      </c>
      <c r="C51" s="18" t="s">
        <v>396</v>
      </c>
      <c r="D51" s="19" t="s">
        <v>397</v>
      </c>
      <c r="E51" s="18" t="s">
        <v>142</v>
      </c>
      <c r="F51" s="20" t="n">
        <v>1650</v>
      </c>
      <c r="G51" s="18" t="n">
        <v>0</v>
      </c>
      <c r="H51" s="18" t="s">
        <v>60</v>
      </c>
      <c r="I51" s="18" t="s">
        <v>398</v>
      </c>
      <c r="J51" s="18" t="s">
        <v>60</v>
      </c>
      <c r="K51" s="18" t="s">
        <v>60</v>
      </c>
      <c r="L51" s="18" t="s">
        <v>239</v>
      </c>
      <c r="M51" s="18" t="s">
        <v>239</v>
      </c>
      <c r="N51" s="19" t="s">
        <v>399</v>
      </c>
    </row>
    <row r="52" customFormat="false" ht="23.85" hidden="false" customHeight="false" outlineLevel="0" collapsed="false">
      <c r="B52" s="18" t="s">
        <v>400</v>
      </c>
      <c r="C52" s="18" t="s">
        <v>396</v>
      </c>
      <c r="D52" s="19" t="s">
        <v>401</v>
      </c>
      <c r="E52" s="18" t="s">
        <v>402</v>
      </c>
      <c r="F52" s="20" t="n">
        <v>0</v>
      </c>
      <c r="G52" s="18" t="n">
        <v>0</v>
      </c>
      <c r="H52" s="18" t="s">
        <v>60</v>
      </c>
      <c r="I52" s="18" t="s">
        <v>403</v>
      </c>
      <c r="J52" s="18" t="s">
        <v>60</v>
      </c>
      <c r="K52" s="18" t="s">
        <v>60</v>
      </c>
      <c r="L52" s="18" t="s">
        <v>239</v>
      </c>
      <c r="M52" s="18" t="s">
        <v>239</v>
      </c>
      <c r="N52" s="19" t="s">
        <v>404</v>
      </c>
    </row>
    <row r="53" customFormat="false" ht="15" hidden="false" customHeight="false" outlineLevel="0" collapsed="false">
      <c r="B53" s="18" t="s">
        <v>405</v>
      </c>
      <c r="C53" s="18" t="s">
        <v>396</v>
      </c>
      <c r="D53" s="19" t="s">
        <v>406</v>
      </c>
      <c r="E53" s="18" t="s">
        <v>142</v>
      </c>
      <c r="F53" s="20" t="n">
        <v>1900</v>
      </c>
      <c r="G53" s="18" t="n">
        <v>0</v>
      </c>
      <c r="H53" s="18" t="s">
        <v>239</v>
      </c>
      <c r="I53" s="18" t="s">
        <v>173</v>
      </c>
      <c r="J53" s="18" t="s">
        <v>239</v>
      </c>
      <c r="K53" s="18" t="s">
        <v>239</v>
      </c>
      <c r="L53" s="18" t="s">
        <v>239</v>
      </c>
      <c r="M53" s="18" t="s">
        <v>239</v>
      </c>
      <c r="N53" s="19" t="s">
        <v>259</v>
      </c>
    </row>
    <row r="54" customFormat="false" ht="23.85" hidden="false" customHeight="false" outlineLevel="0" collapsed="false">
      <c r="B54" s="18" t="s">
        <v>407</v>
      </c>
      <c r="C54" s="18" t="s">
        <v>396</v>
      </c>
      <c r="D54" s="19" t="s">
        <v>408</v>
      </c>
      <c r="E54" s="18" t="s">
        <v>142</v>
      </c>
      <c r="F54" s="20" t="n">
        <v>1700</v>
      </c>
      <c r="G54" s="18" t="n">
        <v>0</v>
      </c>
      <c r="H54" s="18" t="s">
        <v>239</v>
      </c>
      <c r="I54" s="18" t="s">
        <v>173</v>
      </c>
      <c r="J54" s="18" t="s">
        <v>239</v>
      </c>
      <c r="K54" s="18" t="s">
        <v>239</v>
      </c>
      <c r="L54" s="18" t="s">
        <v>239</v>
      </c>
      <c r="M54" s="18" t="s">
        <v>239</v>
      </c>
      <c r="N54" s="19" t="s">
        <v>409</v>
      </c>
    </row>
  </sheetData>
  <autoFilter ref="B3:N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B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4" min="4" style="0" width="30"/>
    <col collapsed="false" customWidth="true" hidden="false" outlineLevel="0" max="5" min="5" style="0" width="46"/>
    <col collapsed="false" customWidth="true" hidden="false" outlineLevel="0" max="6" min="6" style="0" width="24"/>
    <col collapsed="false" customWidth="true" hidden="false" outlineLevel="0" max="7" min="7" style="0" width="46"/>
  </cols>
  <sheetData>
    <row r="1" customFormat="false" ht="17.35" hidden="false" customHeight="false" outlineLevel="0" collapsed="false">
      <c r="B1" s="1" t="s">
        <v>410</v>
      </c>
    </row>
    <row r="3" customFormat="false" ht="15" hidden="false" customHeight="false" outlineLevel="0" collapsed="false">
      <c r="B3" s="14" t="s">
        <v>411</v>
      </c>
      <c r="C3" s="14"/>
      <c r="D3" s="14"/>
      <c r="E3" s="14"/>
      <c r="F3" s="14"/>
      <c r="G3" s="14"/>
    </row>
    <row r="4" customFormat="false" ht="15" hidden="false" customHeight="false" outlineLevel="0" collapsed="false">
      <c r="B4" s="11" t="s">
        <v>412</v>
      </c>
      <c r="C4" s="11" t="s">
        <v>413</v>
      </c>
      <c r="D4" s="11" t="s">
        <v>414</v>
      </c>
      <c r="E4" s="11" t="s">
        <v>415</v>
      </c>
      <c r="F4" s="11" t="s">
        <v>416</v>
      </c>
      <c r="G4" s="11" t="s">
        <v>417</v>
      </c>
    </row>
    <row r="5" customFormat="false" ht="23.85" hidden="false" customHeight="false" outlineLevel="0" collapsed="false">
      <c r="B5" s="19" t="s">
        <v>418</v>
      </c>
      <c r="C5" s="19" t="s">
        <v>419</v>
      </c>
      <c r="D5" s="19" t="s">
        <v>420</v>
      </c>
      <c r="E5" s="19" t="s">
        <v>421</v>
      </c>
      <c r="F5" s="19" t="s">
        <v>422</v>
      </c>
      <c r="G5" s="19" t="s">
        <v>423</v>
      </c>
    </row>
    <row r="6" customFormat="false" ht="23.85" hidden="false" customHeight="false" outlineLevel="0" collapsed="false">
      <c r="B6" s="19" t="s">
        <v>424</v>
      </c>
      <c r="C6" s="19" t="s">
        <v>425</v>
      </c>
      <c r="D6" s="19" t="s">
        <v>426</v>
      </c>
      <c r="E6" s="19" t="s">
        <v>427</v>
      </c>
      <c r="F6" s="19" t="s">
        <v>428</v>
      </c>
      <c r="G6" s="19" t="s">
        <v>429</v>
      </c>
    </row>
    <row r="7" customFormat="false" ht="23.85" hidden="false" customHeight="false" outlineLevel="0" collapsed="false">
      <c r="B7" s="19" t="s">
        <v>430</v>
      </c>
      <c r="C7" s="19" t="s">
        <v>425</v>
      </c>
      <c r="D7" s="19" t="s">
        <v>431</v>
      </c>
      <c r="E7" s="19" t="s">
        <v>432</v>
      </c>
      <c r="F7" s="19" t="s">
        <v>433</v>
      </c>
      <c r="G7" s="19" t="s">
        <v>434</v>
      </c>
    </row>
    <row r="8" customFormat="false" ht="23.85" hidden="false" customHeight="false" outlineLevel="0" collapsed="false">
      <c r="B8" s="19" t="s">
        <v>435</v>
      </c>
      <c r="C8" s="19" t="s">
        <v>419</v>
      </c>
      <c r="D8" s="19" t="s">
        <v>436</v>
      </c>
      <c r="E8" s="19" t="s">
        <v>437</v>
      </c>
      <c r="F8" s="19" t="s">
        <v>438</v>
      </c>
      <c r="G8" s="19" t="s">
        <v>439</v>
      </c>
    </row>
    <row r="9" customFormat="false" ht="23.85" hidden="false" customHeight="false" outlineLevel="0" collapsed="false">
      <c r="B9" s="19" t="s">
        <v>440</v>
      </c>
      <c r="C9" s="19" t="s">
        <v>419</v>
      </c>
      <c r="D9" s="19" t="s">
        <v>441</v>
      </c>
      <c r="E9" s="19" t="s">
        <v>442</v>
      </c>
      <c r="F9" s="19" t="s">
        <v>443</v>
      </c>
      <c r="G9" s="19" t="s">
        <v>444</v>
      </c>
    </row>
    <row r="10" customFormat="false" ht="15" hidden="false" customHeight="false" outlineLevel="0" collapsed="false">
      <c r="B10" s="19" t="s">
        <v>445</v>
      </c>
      <c r="C10" s="19" t="s">
        <v>425</v>
      </c>
      <c r="D10" s="19" t="s">
        <v>446</v>
      </c>
      <c r="E10" s="19" t="s">
        <v>447</v>
      </c>
      <c r="F10" s="19" t="s">
        <v>448</v>
      </c>
      <c r="G10" s="19"/>
    </row>
    <row r="11" customFormat="false" ht="23.85" hidden="false" customHeight="false" outlineLevel="0" collapsed="false">
      <c r="B11" s="19" t="s">
        <v>449</v>
      </c>
      <c r="C11" s="19" t="s">
        <v>450</v>
      </c>
      <c r="D11" s="19" t="s">
        <v>451</v>
      </c>
      <c r="E11" s="19" t="s">
        <v>452</v>
      </c>
      <c r="F11" s="19" t="s">
        <v>453</v>
      </c>
      <c r="G11" s="19" t="s">
        <v>454</v>
      </c>
    </row>
    <row r="12" customFormat="false" ht="15" hidden="false" customHeight="false" outlineLevel="0" collapsed="false">
      <c r="B12" s="19" t="s">
        <v>455</v>
      </c>
      <c r="C12" s="19" t="s">
        <v>456</v>
      </c>
      <c r="D12" s="19" t="s">
        <v>457</v>
      </c>
      <c r="E12" s="19" t="s">
        <v>458</v>
      </c>
      <c r="F12" s="19" t="s">
        <v>459</v>
      </c>
      <c r="G12" s="19" t="s">
        <v>460</v>
      </c>
    </row>
    <row r="13" customFormat="false" ht="15" hidden="false" customHeight="false" outlineLevel="0" collapsed="false">
      <c r="B13" s="19" t="s">
        <v>461</v>
      </c>
      <c r="C13" s="19" t="s">
        <v>456</v>
      </c>
      <c r="D13" s="19" t="s">
        <v>462</v>
      </c>
      <c r="E13" s="19" t="s">
        <v>463</v>
      </c>
      <c r="F13" s="19" t="s">
        <v>464</v>
      </c>
      <c r="G13" s="19" t="s">
        <v>465</v>
      </c>
    </row>
    <row r="14" customFormat="false" ht="23.85" hidden="false" customHeight="false" outlineLevel="0" collapsed="false">
      <c r="B14" s="19" t="s">
        <v>466</v>
      </c>
      <c r="C14" s="19" t="s">
        <v>467</v>
      </c>
      <c r="D14" s="19" t="s">
        <v>468</v>
      </c>
      <c r="E14" s="19" t="s">
        <v>469</v>
      </c>
      <c r="F14" s="19" t="s">
        <v>470</v>
      </c>
      <c r="G14" s="19" t="s">
        <v>471</v>
      </c>
    </row>
    <row r="16" customFormat="false" ht="15" hidden="false" customHeight="false" outlineLevel="0" collapsed="false">
      <c r="B16" s="14" t="s">
        <v>472</v>
      </c>
      <c r="C16" s="14"/>
      <c r="D16" s="14"/>
      <c r="E16" s="14"/>
      <c r="F16" s="14"/>
      <c r="G16" s="14"/>
    </row>
    <row r="17" customFormat="false" ht="15" hidden="false" customHeight="true" outlineLevel="0" collapsed="false">
      <c r="B17" s="8" t="s">
        <v>473</v>
      </c>
      <c r="C17" s="8"/>
      <c r="D17" s="8"/>
      <c r="E17" s="8"/>
      <c r="F17" s="8"/>
      <c r="G17" s="8"/>
    </row>
    <row r="19" customFormat="false" ht="15" hidden="false" customHeight="false" outlineLevel="0" collapsed="false">
      <c r="B19" s="14" t="s">
        <v>474</v>
      </c>
      <c r="C19" s="14"/>
      <c r="D19" s="14"/>
      <c r="E19" s="14"/>
      <c r="F19" s="14"/>
      <c r="G19" s="14"/>
    </row>
    <row r="20" customFormat="false" ht="15" hidden="false" customHeight="false" outlineLevel="0" collapsed="false">
      <c r="B20" s="4"/>
      <c r="C20" s="21" t="s">
        <v>475</v>
      </c>
      <c r="D20" s="21" t="s">
        <v>476</v>
      </c>
    </row>
    <row r="21" customFormat="false" ht="15" hidden="false" customHeight="true" outlineLevel="0" collapsed="false">
      <c r="B21" s="22" t="s">
        <v>477</v>
      </c>
      <c r="C21" s="22"/>
      <c r="D21" s="22"/>
      <c r="E21" s="22"/>
      <c r="F21" s="22"/>
      <c r="G21" s="22"/>
    </row>
  </sheetData>
  <mergeCells count="5">
    <mergeCell ref="B3:G3"/>
    <mergeCell ref="B16:G16"/>
    <mergeCell ref="B17:G17"/>
    <mergeCell ref="B19:G19"/>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B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4" min="3" style="0" width="30"/>
  </cols>
  <sheetData>
    <row r="1" customFormat="false" ht="17.35" hidden="false" customHeight="false" outlineLevel="0" collapsed="false">
      <c r="B1" s="1" t="s">
        <v>478</v>
      </c>
    </row>
    <row r="3" customFormat="false" ht="15" hidden="false" customHeight="false" outlineLevel="0" collapsed="false">
      <c r="B3" s="14" t="s">
        <v>479</v>
      </c>
      <c r="C3" s="14"/>
      <c r="D3" s="14"/>
    </row>
    <row r="4" customFormat="false" ht="15" hidden="false" customHeight="false" outlineLevel="0" collapsed="false">
      <c r="B4" s="11" t="s">
        <v>480</v>
      </c>
      <c r="C4" s="11" t="s">
        <v>481</v>
      </c>
      <c r="D4" s="11" t="s">
        <v>482</v>
      </c>
    </row>
    <row r="5" customFormat="false" ht="15" hidden="false" customHeight="false" outlineLevel="0" collapsed="false">
      <c r="B5" s="4" t="n">
        <v>1</v>
      </c>
      <c r="C5" s="23" t="n">
        <v>1.1</v>
      </c>
      <c r="D5" s="4" t="s">
        <v>483</v>
      </c>
    </row>
    <row r="6" customFormat="false" ht="15" hidden="false" customHeight="false" outlineLevel="0" collapsed="false">
      <c r="B6" s="4" t="n">
        <v>2</v>
      </c>
      <c r="C6" s="23" t="n">
        <v>1</v>
      </c>
      <c r="D6" s="4" t="s">
        <v>484</v>
      </c>
    </row>
    <row r="7" customFormat="false" ht="15" hidden="false" customHeight="false" outlineLevel="0" collapsed="false">
      <c r="B7" s="4" t="n">
        <v>3</v>
      </c>
      <c r="C7" s="23" t="n">
        <v>0.7</v>
      </c>
      <c r="D7" s="4" t="s">
        <v>485</v>
      </c>
    </row>
    <row r="8" customFormat="false" ht="15" hidden="false" customHeight="false" outlineLevel="0" collapsed="false">
      <c r="B8" s="4" t="n">
        <v>4</v>
      </c>
      <c r="C8" s="23" t="n">
        <v>0.35</v>
      </c>
      <c r="D8" s="4" t="s">
        <v>486</v>
      </c>
    </row>
    <row r="9" customFormat="false" ht="15" hidden="false" customHeight="false" outlineLevel="0" collapsed="false">
      <c r="B9" s="4" t="n">
        <v>5</v>
      </c>
      <c r="C9" s="23" t="n">
        <v>0</v>
      </c>
      <c r="D9" s="4" t="s">
        <v>487</v>
      </c>
    </row>
    <row r="11" customFormat="false" ht="15" hidden="false" customHeight="false" outlineLevel="0" collapsed="false">
      <c r="B11" s="14" t="s">
        <v>488</v>
      </c>
      <c r="C11" s="14"/>
      <c r="D11" s="14"/>
    </row>
    <row r="12" customFormat="false" ht="15" hidden="false" customHeight="false" outlineLevel="0" collapsed="false">
      <c r="B12" s="11" t="s">
        <v>489</v>
      </c>
      <c r="C12" s="11" t="s">
        <v>54</v>
      </c>
      <c r="D12" s="11" t="s">
        <v>490</v>
      </c>
    </row>
    <row r="13" customFormat="false" ht="15" hidden="false" customHeight="false" outlineLevel="0" collapsed="false">
      <c r="B13" s="4" t="s">
        <v>491</v>
      </c>
      <c r="C13" s="4" t="s">
        <v>492</v>
      </c>
      <c r="D13" s="7" t="s">
        <v>493</v>
      </c>
    </row>
    <row r="14" customFormat="false" ht="15" hidden="false" customHeight="false" outlineLevel="0" collapsed="false">
      <c r="B14" s="4" t="s">
        <v>494</v>
      </c>
      <c r="C14" s="4" t="s">
        <v>495</v>
      </c>
      <c r="D14" s="7" t="s">
        <v>493</v>
      </c>
    </row>
    <row r="15" customFormat="false" ht="15" hidden="false" customHeight="false" outlineLevel="0" collapsed="false">
      <c r="B15" s="4" t="s">
        <v>496</v>
      </c>
      <c r="C15" s="4" t="s">
        <v>497</v>
      </c>
      <c r="D15" s="7" t="s">
        <v>493</v>
      </c>
    </row>
    <row r="16" customFormat="false" ht="15" hidden="false" customHeight="false" outlineLevel="0" collapsed="false">
      <c r="B16" s="4" t="s">
        <v>498</v>
      </c>
      <c r="C16" s="4" t="s">
        <v>499</v>
      </c>
      <c r="D16" s="7" t="s">
        <v>500</v>
      </c>
    </row>
    <row r="17" customFormat="false" ht="15" hidden="false" customHeight="false" outlineLevel="0" collapsed="false">
      <c r="B17" s="4" t="s">
        <v>501</v>
      </c>
      <c r="C17" s="4" t="s">
        <v>502</v>
      </c>
      <c r="D17" s="7" t="s">
        <v>493</v>
      </c>
    </row>
    <row r="18" customFormat="false" ht="15" hidden="false" customHeight="false" outlineLevel="0" collapsed="false">
      <c r="B18" s="4" t="s">
        <v>503</v>
      </c>
      <c r="C18" s="4" t="s">
        <v>504</v>
      </c>
      <c r="D18" s="7" t="s">
        <v>505</v>
      </c>
    </row>
    <row r="19" customFormat="false" ht="15" hidden="false" customHeight="false" outlineLevel="0" collapsed="false">
      <c r="B19" s="4" t="s">
        <v>506</v>
      </c>
      <c r="C19" s="4" t="s">
        <v>507</v>
      </c>
      <c r="D19" s="7" t="s">
        <v>508</v>
      </c>
    </row>
    <row r="20" customFormat="false" ht="15" hidden="false" customHeight="false" outlineLevel="0" collapsed="false">
      <c r="B20" s="4" t="s">
        <v>509</v>
      </c>
      <c r="C20" s="4" t="s">
        <v>510</v>
      </c>
      <c r="D20" s="7" t="s">
        <v>493</v>
      </c>
    </row>
    <row r="21" customFormat="false" ht="15" hidden="false" customHeight="false" outlineLevel="0" collapsed="false">
      <c r="B21" s="4" t="s">
        <v>511</v>
      </c>
      <c r="C21" s="4" t="s">
        <v>512</v>
      </c>
      <c r="D21" s="7" t="s">
        <v>493</v>
      </c>
    </row>
  </sheetData>
  <mergeCells count="2">
    <mergeCell ref="B3:D3"/>
    <mergeCell ref="B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B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4" min="2" style="0" width="16"/>
  </cols>
  <sheetData>
    <row r="1" customFormat="false" ht="17.35" hidden="false" customHeight="false" outlineLevel="0" collapsed="false">
      <c r="B1" s="1" t="s">
        <v>513</v>
      </c>
    </row>
    <row r="3" customFormat="false" ht="15" hidden="false" customHeight="false" outlineLevel="0" collapsed="false">
      <c r="B3" s="14" t="s">
        <v>514</v>
      </c>
      <c r="C3" s="14"/>
      <c r="D3" s="14"/>
    </row>
    <row r="4" customFormat="false" ht="15" hidden="false" customHeight="false" outlineLevel="0" collapsed="false">
      <c r="B4" s="11" t="s">
        <v>515</v>
      </c>
      <c r="C4" s="11" t="s">
        <v>516</v>
      </c>
      <c r="D4" s="11" t="s">
        <v>517</v>
      </c>
    </row>
    <row r="5" customFormat="false" ht="15" hidden="false" customHeight="false" outlineLevel="0" collapsed="false">
      <c r="B5" s="4" t="n">
        <v>0</v>
      </c>
      <c r="C5" s="4" t="n">
        <v>1957</v>
      </c>
      <c r="D5" s="4" t="n">
        <v>275</v>
      </c>
    </row>
    <row r="6" customFormat="false" ht="15" hidden="false" customHeight="false" outlineLevel="0" collapsed="false">
      <c r="B6" s="4" t="n">
        <v>1958</v>
      </c>
      <c r="C6" s="4" t="n">
        <v>1978</v>
      </c>
      <c r="D6" s="4" t="n">
        <v>215</v>
      </c>
    </row>
    <row r="7" customFormat="false" ht="15" hidden="false" customHeight="false" outlineLevel="0" collapsed="false">
      <c r="B7" s="4" t="n">
        <v>1979</v>
      </c>
      <c r="C7" s="4" t="n">
        <v>1994</v>
      </c>
      <c r="D7" s="4" t="n">
        <v>160</v>
      </c>
    </row>
    <row r="8" customFormat="false" ht="15" hidden="false" customHeight="false" outlineLevel="0" collapsed="false">
      <c r="B8" s="4" t="n">
        <v>1995</v>
      </c>
      <c r="C8" s="4" t="n">
        <v>2009</v>
      </c>
      <c r="D8" s="4" t="n">
        <v>95</v>
      </c>
    </row>
    <row r="9" customFormat="false" ht="15" hidden="false" customHeight="false" outlineLevel="0" collapsed="false">
      <c r="B9" s="4" t="n">
        <v>2010</v>
      </c>
      <c r="C9" s="4" t="n">
        <v>2026</v>
      </c>
      <c r="D9" s="4" t="n">
        <v>60</v>
      </c>
    </row>
    <row r="11" customFormat="false" ht="15" hidden="false" customHeight="false" outlineLevel="0" collapsed="false">
      <c r="B11" s="14" t="s">
        <v>518</v>
      </c>
      <c r="C11" s="14"/>
      <c r="D11" s="14"/>
    </row>
    <row r="12" customFormat="false" ht="15" hidden="false" customHeight="false" outlineLevel="0" collapsed="false">
      <c r="B12" s="11" t="s">
        <v>37</v>
      </c>
      <c r="C12" s="11" t="s">
        <v>517</v>
      </c>
    </row>
    <row r="13" customFormat="false" ht="15" hidden="false" customHeight="false" outlineLevel="0" collapsed="false">
      <c r="B13" s="4" t="s">
        <v>519</v>
      </c>
      <c r="C13" s="4" t="n">
        <v>65</v>
      </c>
    </row>
    <row r="14" customFormat="false" ht="15" hidden="false" customHeight="false" outlineLevel="0" collapsed="false">
      <c r="B14" s="4" t="s">
        <v>520</v>
      </c>
      <c r="C14" s="4" t="n">
        <v>40</v>
      </c>
    </row>
    <row r="15" customFormat="false" ht="15" hidden="false" customHeight="false" outlineLevel="0" collapsed="false">
      <c r="B15" s="4" t="s">
        <v>521</v>
      </c>
      <c r="C15" s="4" t="n">
        <v>90</v>
      </c>
    </row>
    <row r="17" customFormat="false" ht="15" hidden="false" customHeight="false" outlineLevel="0" collapsed="false">
      <c r="B17" s="14" t="s">
        <v>522</v>
      </c>
      <c r="C17" s="14"/>
      <c r="D17" s="14"/>
    </row>
    <row r="18" customFormat="false" ht="15" hidden="false" customHeight="false" outlineLevel="0" collapsed="false">
      <c r="B18" s="11" t="s">
        <v>523</v>
      </c>
      <c r="C18" s="11" t="s">
        <v>524</v>
      </c>
    </row>
    <row r="19" customFormat="false" ht="15" hidden="false" customHeight="false" outlineLevel="0" collapsed="false">
      <c r="B19" s="4" t="n">
        <v>0</v>
      </c>
      <c r="C19" s="4" t="n">
        <v>1500</v>
      </c>
    </row>
    <row r="20" customFormat="false" ht="15" hidden="false" customHeight="false" outlineLevel="0" collapsed="false">
      <c r="B20" s="4" t="n">
        <v>5</v>
      </c>
      <c r="C20" s="4" t="n">
        <v>1335</v>
      </c>
    </row>
    <row r="21" customFormat="false" ht="15" hidden="false" customHeight="false" outlineLevel="0" collapsed="false">
      <c r="B21" s="4" t="n">
        <v>10</v>
      </c>
      <c r="C21" s="4" t="n">
        <v>1200</v>
      </c>
    </row>
    <row r="22" customFormat="false" ht="15" hidden="false" customHeight="false" outlineLevel="0" collapsed="false">
      <c r="B22" s="4" t="n">
        <v>15</v>
      </c>
      <c r="C22" s="4" t="n">
        <v>1050</v>
      </c>
    </row>
    <row r="23" customFormat="false" ht="15" hidden="false" customHeight="false" outlineLevel="0" collapsed="false">
      <c r="B23" s="4" t="n">
        <v>20</v>
      </c>
      <c r="C23" s="4" t="n">
        <v>950</v>
      </c>
    </row>
  </sheetData>
  <mergeCells count="3">
    <mergeCell ref="B3:D3"/>
    <mergeCell ref="B11:D11"/>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Y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30"/>
    <col collapsed="false" customWidth="true" hidden="false" outlineLevel="0" max="4" min="4" style="0" width="12"/>
    <col collapsed="false" customWidth="true" hidden="false" outlineLevel="0" max="5" min="5" style="0" width="30"/>
    <col collapsed="false" customWidth="true" hidden="false" outlineLevel="0" max="10" min="6" style="0" width="12"/>
    <col collapsed="false" customWidth="true" hidden="false" outlineLevel="0" max="11" min="11" style="0" width="10"/>
    <col collapsed="false" customWidth="true" hidden="false" outlineLevel="0" max="12" min="12" style="0" width="14"/>
    <col collapsed="false" customWidth="true" hidden="false" outlineLevel="0" max="15" min="13" style="0" width="10"/>
    <col collapsed="false" customWidth="true" hidden="false" outlineLevel="0" max="18" min="16" style="0" width="12"/>
    <col collapsed="false" customWidth="true" hidden="false" outlineLevel="0" max="19" min="19" style="0" width="10"/>
    <col collapsed="false" customWidth="true" hidden="false" outlineLevel="0" max="20" min="20" style="0" width="12"/>
    <col collapsed="false" customWidth="true" hidden="false" outlineLevel="0" max="21" min="21" style="0" width="14"/>
    <col collapsed="false" customWidth="true" hidden="false" outlineLevel="0" max="23" min="22" style="0" width="26"/>
    <col collapsed="false" customWidth="true" hidden="true" outlineLevel="0" max="25" min="24" style="0" width="13"/>
  </cols>
  <sheetData>
    <row r="1" customFormat="false" ht="17.35" hidden="false" customHeight="false" outlineLevel="0" collapsed="false">
      <c r="B1" s="1" t="s">
        <v>525</v>
      </c>
    </row>
    <row r="3" customFormat="false" ht="15" hidden="false" customHeight="false" outlineLevel="0" collapsed="false">
      <c r="B3" s="14" t="s">
        <v>526</v>
      </c>
      <c r="C3" s="14"/>
      <c r="D3" s="14"/>
      <c r="E3" s="14"/>
    </row>
    <row r="4" customFormat="false" ht="15" hidden="false" customHeight="false" outlineLevel="0" collapsed="false">
      <c r="B4" s="4" t="s">
        <v>31</v>
      </c>
      <c r="C4" s="15" t="s">
        <v>527</v>
      </c>
    </row>
    <row r="5" customFormat="false" ht="15" hidden="false" customHeight="false" outlineLevel="0" collapsed="false">
      <c r="B5" s="4" t="s">
        <v>32</v>
      </c>
      <c r="C5" s="15" t="n">
        <v>32312</v>
      </c>
    </row>
    <row r="6" customFormat="false" ht="15" hidden="false" customHeight="false" outlineLevel="0" collapsed="false">
      <c r="B6" s="4" t="s">
        <v>33</v>
      </c>
      <c r="C6" s="15" t="s">
        <v>528</v>
      </c>
    </row>
    <row r="7" customFormat="false" ht="15" hidden="false" customHeight="false" outlineLevel="0" collapsed="false">
      <c r="B7" s="4" t="s">
        <v>34</v>
      </c>
      <c r="C7" s="15" t="n">
        <v>1978</v>
      </c>
    </row>
    <row r="8" customFormat="false" ht="15" hidden="false" customHeight="false" outlineLevel="0" collapsed="false">
      <c r="B8" s="4" t="s">
        <v>529</v>
      </c>
      <c r="C8" s="24" t="n">
        <v>285000</v>
      </c>
      <c r="D8" s="7" t="s">
        <v>57</v>
      </c>
    </row>
    <row r="9" customFormat="false" ht="15" hidden="false" customHeight="false" outlineLevel="0" collapsed="false">
      <c r="B9" s="4" t="s">
        <v>530</v>
      </c>
      <c r="C9" s="15" t="n">
        <v>130</v>
      </c>
      <c r="D9" s="7" t="s">
        <v>531</v>
      </c>
    </row>
    <row r="10" customFormat="false" ht="15" hidden="false" customHeight="false" outlineLevel="0" collapsed="false">
      <c r="B10" s="4" t="s">
        <v>532</v>
      </c>
      <c r="C10" s="15" t="n">
        <v>750</v>
      </c>
      <c r="D10" s="7" t="s">
        <v>531</v>
      </c>
    </row>
    <row r="11" customFormat="false" ht="15" hidden="false" customHeight="false" outlineLevel="0" collapsed="false">
      <c r="B11" s="4" t="s">
        <v>533</v>
      </c>
      <c r="C11" s="17" t="n">
        <v>100</v>
      </c>
      <c r="D11" s="7" t="s">
        <v>246</v>
      </c>
      <c r="E11" s="7" t="s">
        <v>534</v>
      </c>
    </row>
    <row r="12" customFormat="false" ht="15" hidden="false" customHeight="false" outlineLevel="0" collapsed="false">
      <c r="B12" s="4" t="s">
        <v>535</v>
      </c>
      <c r="C12" s="15" t="n">
        <v>1</v>
      </c>
      <c r="D12" s="7" t="s">
        <v>94</v>
      </c>
      <c r="E12" s="7" t="s">
        <v>536</v>
      </c>
    </row>
    <row r="13" customFormat="false" ht="15" hidden="false" customHeight="false" outlineLevel="0" collapsed="false">
      <c r="B13" s="4" t="s">
        <v>537</v>
      </c>
      <c r="C13" s="15" t="n">
        <v>2</v>
      </c>
    </row>
    <row r="14" customFormat="false" ht="15" hidden="false" customHeight="false" outlineLevel="0" collapsed="false">
      <c r="B14" s="4" t="s">
        <v>538</v>
      </c>
      <c r="C14" s="15" t="s">
        <v>539</v>
      </c>
    </row>
    <row r="15" customFormat="false" ht="15" hidden="false" customHeight="false" outlineLevel="0" collapsed="false">
      <c r="B15" s="4" t="s">
        <v>540</v>
      </c>
      <c r="C15" s="15" t="s">
        <v>541</v>
      </c>
    </row>
    <row r="16" customFormat="false" ht="15" hidden="false" customHeight="false" outlineLevel="0" collapsed="false">
      <c r="B16" s="4" t="s">
        <v>542</v>
      </c>
      <c r="C16" s="15" t="s">
        <v>239</v>
      </c>
    </row>
    <row r="17" customFormat="false" ht="15" hidden="false" customHeight="false" outlineLevel="0" collapsed="false">
      <c r="B17" s="4" t="s">
        <v>543</v>
      </c>
      <c r="C17" s="15" t="n">
        <v>185</v>
      </c>
      <c r="D17" s="7" t="s">
        <v>517</v>
      </c>
    </row>
    <row r="18" customFormat="false" ht="15" hidden="false" customHeight="false" outlineLevel="0" collapsed="false">
      <c r="B18" s="4" t="s">
        <v>544</v>
      </c>
      <c r="C18" s="15" t="s">
        <v>545</v>
      </c>
    </row>
    <row r="19" customFormat="false" ht="15" hidden="false" customHeight="false" outlineLevel="0" collapsed="false">
      <c r="B19" s="4" t="s">
        <v>546</v>
      </c>
      <c r="C19" s="15" t="n">
        <v>0</v>
      </c>
      <c r="D19" s="7" t="s">
        <v>547</v>
      </c>
    </row>
    <row r="20" customFormat="false" ht="15" hidden="false" customHeight="false" outlineLevel="0" collapsed="false">
      <c r="B20" s="4" t="s">
        <v>548</v>
      </c>
      <c r="C20" s="15" t="s">
        <v>239</v>
      </c>
    </row>
    <row r="21" customFormat="false" ht="15" hidden="false" customHeight="false" outlineLevel="0" collapsed="false">
      <c r="B21" s="4" t="s">
        <v>37</v>
      </c>
      <c r="C21" s="15" t="s">
        <v>519</v>
      </c>
    </row>
    <row r="22" customFormat="false" ht="15" hidden="false" customHeight="false" outlineLevel="0" collapsed="false">
      <c r="B22" s="4" t="s">
        <v>549</v>
      </c>
      <c r="C22" s="15" t="s">
        <v>60</v>
      </c>
      <c r="E22" s="7" t="s">
        <v>550</v>
      </c>
    </row>
    <row r="23" customFormat="false" ht="15" hidden="false" customHeight="false" outlineLevel="0" collapsed="false">
      <c r="B23" s="4" t="s">
        <v>551</v>
      </c>
      <c r="C23" s="15" t="s">
        <v>552</v>
      </c>
      <c r="E23" s="7" t="s">
        <v>553</v>
      </c>
    </row>
    <row r="24" customFormat="false" ht="15" hidden="false" customHeight="false" outlineLevel="0" collapsed="false">
      <c r="B24" s="4" t="s">
        <v>554</v>
      </c>
      <c r="C24" s="15" t="s">
        <v>60</v>
      </c>
    </row>
    <row r="25" customFormat="false" ht="15" hidden="false" customHeight="false" outlineLevel="0" collapsed="false">
      <c r="B25" s="4" t="s">
        <v>555</v>
      </c>
      <c r="C25" s="15" t="n">
        <v>2</v>
      </c>
      <c r="D25" s="7" t="s">
        <v>547</v>
      </c>
    </row>
    <row r="26" customFormat="false" ht="15" hidden="false" customHeight="false" outlineLevel="0" collapsed="false">
      <c r="B26" s="4" t="s">
        <v>556</v>
      </c>
      <c r="C26" s="15" t="n">
        <v>0</v>
      </c>
      <c r="D26" s="7" t="s">
        <v>69</v>
      </c>
    </row>
    <row r="27" customFormat="false" ht="15" hidden="false" customHeight="false" outlineLevel="0" collapsed="false">
      <c r="B27" s="4" t="s">
        <v>557</v>
      </c>
      <c r="C27" s="15" t="n">
        <v>6</v>
      </c>
      <c r="D27" s="7" t="s">
        <v>127</v>
      </c>
    </row>
    <row r="28" customFormat="false" ht="15" hidden="false" customHeight="false" outlineLevel="0" collapsed="false">
      <c r="B28" s="4" t="s">
        <v>558</v>
      </c>
      <c r="C28" s="15" t="s">
        <v>60</v>
      </c>
    </row>
    <row r="29" customFormat="false" ht="15" hidden="false" customHeight="false" outlineLevel="0" collapsed="false">
      <c r="B29" s="4" t="s">
        <v>559</v>
      </c>
      <c r="C29" s="24" t="n">
        <v>900</v>
      </c>
      <c r="D29" s="7" t="s">
        <v>560</v>
      </c>
    </row>
    <row r="30" customFormat="false" ht="15" hidden="false" customHeight="false" outlineLevel="0" collapsed="false">
      <c r="B30" s="4" t="s">
        <v>561</v>
      </c>
      <c r="C30" s="15" t="n">
        <v>0</v>
      </c>
      <c r="D30" s="7" t="s">
        <v>562</v>
      </c>
    </row>
    <row r="31" customFormat="false" ht="15" hidden="false" customHeight="false" outlineLevel="0" collapsed="false">
      <c r="B31" s="4" t="s">
        <v>563</v>
      </c>
      <c r="C31" s="15" t="s">
        <v>564</v>
      </c>
    </row>
    <row r="32" customFormat="false" ht="15" hidden="false" customHeight="false" outlineLevel="0" collapsed="false">
      <c r="B32" s="4" t="s">
        <v>565</v>
      </c>
      <c r="C32" s="25" t="n">
        <f aca="false">Obj_Grundstuecksflaeche*Obj_Bodenrichtwert*Obj_Anpassungsfaktor</f>
        <v>75000</v>
      </c>
      <c r="D32" s="7" t="s">
        <v>57</v>
      </c>
    </row>
    <row r="34" customFormat="false" ht="15" hidden="false" customHeight="false" outlineLevel="0" collapsed="false">
      <c r="B34" s="14" t="s">
        <v>566</v>
      </c>
      <c r="C34" s="14"/>
      <c r="D34" s="14"/>
      <c r="E34" s="14"/>
    </row>
    <row r="35" customFormat="false" ht="15" hidden="false" customHeight="false" outlineLevel="0" collapsed="false">
      <c r="B35" s="4" t="s">
        <v>567</v>
      </c>
      <c r="C35" s="26" t="n">
        <f aca="false">Obj_Wohnflaeche/Obj_Geschosse</f>
        <v>65</v>
      </c>
      <c r="D35" s="7" t="s">
        <v>531</v>
      </c>
    </row>
    <row r="36" customFormat="false" ht="15" hidden="false" customHeight="false" outlineLevel="0" collapsed="false">
      <c r="B36" s="4" t="s">
        <v>568</v>
      </c>
      <c r="C36" s="26" t="n">
        <f aca="false">A_F_Umfang*SQRT(Obj_Grundflaeche)</f>
        <v>33.0552567680241</v>
      </c>
      <c r="D36" s="7" t="s">
        <v>569</v>
      </c>
    </row>
    <row r="37" customFormat="false" ht="15" hidden="false" customHeight="false" outlineLevel="0" collapsed="false">
      <c r="B37" s="4" t="s">
        <v>570</v>
      </c>
      <c r="C37" s="26" t="n">
        <f aca="false">Obj_Umfang*Obj_Geschosse*A_F_Geschoss</f>
        <v>191.72048925454</v>
      </c>
      <c r="D37" s="7" t="s">
        <v>531</v>
      </c>
    </row>
    <row r="38" customFormat="false" ht="15" hidden="false" customHeight="false" outlineLevel="0" collapsed="false">
      <c r="B38" s="4" t="s">
        <v>571</v>
      </c>
      <c r="C38" s="26" t="n">
        <f aca="false">Obj_Fassadenflaeche*A_F_Fenster</f>
        <v>28.7580733881809</v>
      </c>
      <c r="D38" s="7" t="s">
        <v>531</v>
      </c>
    </row>
    <row r="39" customFormat="false" ht="15" hidden="false" customHeight="false" outlineLevel="0" collapsed="false">
      <c r="B39" s="4" t="s">
        <v>572</v>
      </c>
      <c r="C39" s="26" t="n">
        <f aca="false">Obj_Fensterflaeche/A_F_Fenstergr</f>
        <v>16.9165137577535</v>
      </c>
      <c r="D39" s="7" t="s">
        <v>547</v>
      </c>
    </row>
    <row r="40" customFormat="false" ht="15" hidden="false" customHeight="false" outlineLevel="0" collapsed="false">
      <c r="B40" s="4" t="s">
        <v>573</v>
      </c>
      <c r="C40" s="26" t="n">
        <f aca="false">IF(Obj_Dachform="Flachdach",Obj_Grundflaeche*A_F_Dach_flach,Obj_Grundflaeche*A_F_Dach)</f>
        <v>84.5</v>
      </c>
      <c r="D40" s="7" t="s">
        <v>531</v>
      </c>
    </row>
    <row r="41" customFormat="false" ht="15" hidden="false" customHeight="false" outlineLevel="0" collapsed="false">
      <c r="B41" s="4" t="s">
        <v>574</v>
      </c>
      <c r="C41" s="26" t="n">
        <f aca="false">ROUND(Obj_Wohnflaeche*A_F_HK,0)</f>
        <v>9</v>
      </c>
      <c r="D41" s="7" t="s">
        <v>547</v>
      </c>
    </row>
    <row r="42" customFormat="false" ht="15" hidden="false" customHeight="false" outlineLevel="0" collapsed="false">
      <c r="B42" s="4" t="s">
        <v>575</v>
      </c>
      <c r="C42" s="26" t="n">
        <f aca="false">ROUND(Obj_Wohnflaeche*A_F_Tueren,0)</f>
        <v>7</v>
      </c>
      <c r="D42" s="7" t="s">
        <v>547</v>
      </c>
    </row>
    <row r="43" customFormat="false" ht="15" hidden="false" customHeight="false" outlineLevel="0" collapsed="false">
      <c r="B43" s="4" t="s">
        <v>576</v>
      </c>
      <c r="C43" s="26" t="n">
        <f aca="false">ROUND(Obj_Wohnflaeche*A_F_Raeume,0)</f>
        <v>7</v>
      </c>
      <c r="D43" s="7" t="s">
        <v>547</v>
      </c>
    </row>
    <row r="44" customFormat="false" ht="15" hidden="false" customHeight="false" outlineLevel="0" collapsed="false">
      <c r="B44" s="4" t="s">
        <v>577</v>
      </c>
      <c r="C44" s="26" t="n">
        <f aca="false">Obj_Dachflaeche*A_PV_Anteil</f>
        <v>42.25</v>
      </c>
      <c r="D44" s="7" t="s">
        <v>531</v>
      </c>
    </row>
    <row r="45" customFormat="false" ht="15" hidden="false" customHeight="false" outlineLevel="0" collapsed="false">
      <c r="B45" s="4" t="s">
        <v>578</v>
      </c>
      <c r="C45" s="26" t="n">
        <f aca="false">IF(Obj_PV_kWp_Override&gt;0,Obj_PV_kWp_Override,Obj_PV_DachflaecheNutzbar/A_PV_Flaeche)</f>
        <v>7.68181818181818</v>
      </c>
      <c r="D45" s="7" t="s">
        <v>562</v>
      </c>
    </row>
    <row r="46" customFormat="false" ht="15" hidden="false" customHeight="false" outlineLevel="0" collapsed="false">
      <c r="B46" s="4" t="s">
        <v>579</v>
      </c>
      <c r="C46" s="26" t="n">
        <f aca="false">Obj_PV_kWp*A_Speicher_kWp</f>
        <v>7.68181818181818</v>
      </c>
      <c r="D46" s="7" t="s">
        <v>580</v>
      </c>
    </row>
    <row r="47" customFormat="false" ht="15" hidden="false" customHeight="false" outlineLevel="0" collapsed="false">
      <c r="B47" s="4" t="s">
        <v>581</v>
      </c>
      <c r="C47" s="26" t="n">
        <f aca="false">IF(Obj_PersonenOverride&gt;0,Obj_PersonenOverride,A_Personen)</f>
        <v>3</v>
      </c>
      <c r="D47" s="7" t="s">
        <v>69</v>
      </c>
    </row>
    <row r="49" customFormat="false" ht="15" hidden="false" customHeight="false" outlineLevel="0" collapsed="false">
      <c r="B49" s="14" t="s">
        <v>582</v>
      </c>
      <c r="C49" s="14"/>
      <c r="D49" s="14"/>
      <c r="E49" s="14"/>
      <c r="F49" s="14"/>
      <c r="G49" s="14"/>
      <c r="H49" s="14"/>
      <c r="I49" s="14"/>
      <c r="J49" s="14"/>
      <c r="K49" s="14"/>
      <c r="L49" s="14"/>
      <c r="M49" s="14"/>
      <c r="N49" s="14"/>
      <c r="O49" s="14"/>
      <c r="P49" s="14"/>
      <c r="Q49" s="14"/>
      <c r="R49" s="14"/>
      <c r="S49" s="14"/>
      <c r="T49" s="14"/>
      <c r="U49" s="14"/>
    </row>
    <row r="50" customFormat="false" ht="45" hidden="false" customHeight="true" outlineLevel="0" collapsed="false">
      <c r="B50" s="11" t="s">
        <v>223</v>
      </c>
      <c r="C50" s="11" t="s">
        <v>224</v>
      </c>
      <c r="D50" s="11" t="s">
        <v>225</v>
      </c>
      <c r="E50" s="11" t="s">
        <v>47</v>
      </c>
      <c r="F50" s="11" t="s">
        <v>583</v>
      </c>
      <c r="G50" s="11" t="s">
        <v>584</v>
      </c>
      <c r="H50" s="11" t="s">
        <v>585</v>
      </c>
      <c r="I50" s="11" t="s">
        <v>586</v>
      </c>
      <c r="J50" s="11" t="s">
        <v>587</v>
      </c>
      <c r="K50" s="11" t="s">
        <v>588</v>
      </c>
      <c r="L50" s="11" t="s">
        <v>589</v>
      </c>
      <c r="M50" s="11" t="s">
        <v>590</v>
      </c>
      <c r="N50" s="11" t="s">
        <v>591</v>
      </c>
      <c r="O50" s="11" t="s">
        <v>592</v>
      </c>
      <c r="P50" s="11" t="s">
        <v>593</v>
      </c>
      <c r="Q50" s="11" t="s">
        <v>594</v>
      </c>
      <c r="R50" s="11" t="s">
        <v>595</v>
      </c>
      <c r="S50" s="11" t="s">
        <v>596</v>
      </c>
      <c r="T50" s="11" t="s">
        <v>597</v>
      </c>
      <c r="U50" s="11" t="s">
        <v>598</v>
      </c>
      <c r="V50" s="11" t="s">
        <v>599</v>
      </c>
      <c r="W50" s="11" t="s">
        <v>600</v>
      </c>
    </row>
    <row r="51" customFormat="false" ht="91" hidden="false" customHeight="false" outlineLevel="0" collapsed="false">
      <c r="B51" s="18" t="s">
        <v>234</v>
      </c>
      <c r="C51" s="26" t="str">
        <f aca="false">INDEX(02_Massnahmenkatalog!$C:$C,MATCH($B51,02_Massnahmenkatalog!$B:$B,0))</f>
        <v>Hülle</v>
      </c>
      <c r="D51" s="27" t="str">
        <f aca="false">INDEX(02_Massnahmenkatalog!$D:$D,MATCH($B51,02_Massnahmenkatalog!$B:$B,0))</f>
        <v>Steildach komplett neu (Abriss+Aufsparrendämmung U≤0,14+Eindeckung+Klempner)</v>
      </c>
      <c r="E51" s="26" t="str">
        <f aca="false">INDEX(02_Massnahmenkatalog!$E:$E,MATCH($B51,02_Massnahmenkatalog!$B:$B,0))</f>
        <v>€/m² Dachfläche</v>
      </c>
      <c r="F51" s="18" t="n">
        <f aca="false">IF(Obj_Dachform="Satteldach",Obj_Dachflaeche,0)</f>
        <v>84.5</v>
      </c>
      <c r="G51" s="15"/>
      <c r="H51" s="18" t="n">
        <f aca="false">IF($G51="",$F51,$G51)</f>
        <v>84.5</v>
      </c>
      <c r="I51" s="28" t="n">
        <f aca="false">INDEX(02_Massnahmenkatalog!$F:$F,MATCH($B51,02_Massnahmenkatalog!$B:$B,0))</f>
        <v>520</v>
      </c>
      <c r="J51" s="20" t="n">
        <f aca="false">$H51*$I51</f>
        <v>43940</v>
      </c>
      <c r="K51" s="26" t="str">
        <f aca="false">INDEX(02_Massnahmenkatalog!$H:$H,MATCH($B51,02_Massnahmenkatalog!$B:$B,0))</f>
        <v>Ja</v>
      </c>
      <c r="L51" s="15"/>
      <c r="M51" s="15" t="n">
        <v>3</v>
      </c>
      <c r="N51" s="26" t="n">
        <f aca="false">INDEX(02_Massnahmenkatalog!$G:$G,MATCH($B51,02_Massnahmenkatalog!$B:$B,0))</f>
        <v>55</v>
      </c>
      <c r="O51" s="29" t="n">
        <f aca="false">INDEX(04_Nutzungsdauern!$C:$C,MATCH($M51,04_Nutzungsdauern!$B:$B,0))</f>
        <v>0.7</v>
      </c>
      <c r="P51" s="18" t="n">
        <f aca="false">$N51*$O51-(A_Jahr-IF($L51="",Obj_Baujahr,$L51))</f>
        <v>-9.5</v>
      </c>
      <c r="Q51" s="18" t="n">
        <f aca="false">A_Jahr+MAX(0,$P51)</f>
        <v>2026</v>
      </c>
      <c r="R51" s="15" t="s">
        <v>601</v>
      </c>
      <c r="S51" s="18" t="str">
        <f aca="false">IF($R51="Automatik",IF($Q51&lt;=A_Jahr+A_Horizont,"JA","NEIN"),IF(OR($R51="Sofort",$R51="In Horizont"),"JA","NEIN"))</f>
        <v>JA</v>
      </c>
      <c r="T51" s="16" t="n">
        <v>0</v>
      </c>
      <c r="U51" s="20" t="n">
        <f aca="false">IF(AND($K51="Ja",$S51="JA"),$J51*(1-$T51),0)</f>
        <v>43940</v>
      </c>
      <c r="V51" s="30" t="str">
        <f aca="false">IF(AND($S51="NEIN",OR(AND(Obj_Zielstandard="EH 55 EE",$X51="Ja"),AND(Obj_Zielstandard="EH 40 EE",$Y51="Ja"))),"Pflicht bei Zielstandard, aber nicht aufgenommen","")</f>
        <v/>
      </c>
      <c r="W51" s="15"/>
      <c r="X51" s="26" t="str">
        <f aca="false">INDEX(02_Massnahmenkatalog!$J:$J,MATCH($B51,02_Massnahmenkatalog!$B:$B,0))</f>
        <v>Ja</v>
      </c>
      <c r="Y51" s="26" t="str">
        <f aca="false">INDEX(02_Massnahmenkatalog!$K:$K,MATCH($B51,02_Massnahmenkatalog!$B:$B,0))</f>
        <v>Ja</v>
      </c>
    </row>
    <row r="52" customFormat="false" ht="68.65" hidden="false" customHeight="false" outlineLevel="0" collapsed="false">
      <c r="B52" s="18" t="s">
        <v>241</v>
      </c>
      <c r="C52" s="26" t="str">
        <f aca="false">INDEX(02_Massnahmenkatalog!$C:$C,MATCH($B52,02_Massnahmenkatalog!$B:$B,0))</f>
        <v>Hülle</v>
      </c>
      <c r="D52" s="27" t="str">
        <f aca="false">INDEX(02_Massnahmenkatalog!$D:$D,MATCH($B52,02_Massnahmenkatalog!$B:$B,0))</f>
        <v>Flachdachsanierung (PVC/FPO inkl. Gefälledämmung, Abriss)</v>
      </c>
      <c r="E52" s="26" t="str">
        <f aca="false">INDEX(02_Massnahmenkatalog!$E:$E,MATCH($B52,02_Massnahmenkatalog!$B:$B,0))</f>
        <v>€/m² Dachfläche</v>
      </c>
      <c r="F52" s="18" t="n">
        <f aca="false">IF(Obj_Dachform&lt;&gt;"Satteldach",Obj_Dachflaeche,0)</f>
        <v>0</v>
      </c>
      <c r="G52" s="15"/>
      <c r="H52" s="18" t="n">
        <f aca="false">IF($G52="",$F52,$G52)</f>
        <v>0</v>
      </c>
      <c r="I52" s="28" t="n">
        <f aca="false">INDEX(02_Massnahmenkatalog!$F:$F,MATCH($B52,02_Massnahmenkatalog!$B:$B,0))</f>
        <v>250</v>
      </c>
      <c r="J52" s="20" t="n">
        <f aca="false">$H52*$I52</f>
        <v>0</v>
      </c>
      <c r="K52" s="26" t="str">
        <f aca="false">INDEX(02_Massnahmenkatalog!$H:$H,MATCH($B52,02_Massnahmenkatalog!$B:$B,0))</f>
        <v>Ja</v>
      </c>
      <c r="L52" s="15"/>
      <c r="M52" s="15" t="n">
        <v>3</v>
      </c>
      <c r="N52" s="26" t="n">
        <f aca="false">INDEX(02_Massnahmenkatalog!$G:$G,MATCH($B52,02_Massnahmenkatalog!$B:$B,0))</f>
        <v>20</v>
      </c>
      <c r="O52" s="29" t="n">
        <f aca="false">INDEX(04_Nutzungsdauern!$C:$C,MATCH($M52,04_Nutzungsdauern!$B:$B,0))</f>
        <v>0.7</v>
      </c>
      <c r="P52" s="18" t="n">
        <f aca="false">$N52*$O52-(A_Jahr-IF($L52="",Obj_Baujahr,$L52))</f>
        <v>-34</v>
      </c>
      <c r="Q52" s="18" t="n">
        <f aca="false">A_Jahr+MAX(0,$P52)</f>
        <v>2026</v>
      </c>
      <c r="R52" s="15" t="s">
        <v>601</v>
      </c>
      <c r="S52" s="18" t="str">
        <f aca="false">IF($R52="Automatik",IF($Q52&lt;=A_Jahr+A_Horizont,"JA","NEIN"),IF(OR($R52="Sofort",$R52="In Horizont"),"JA","NEIN"))</f>
        <v>JA</v>
      </c>
      <c r="T52" s="16" t="n">
        <v>0</v>
      </c>
      <c r="U52" s="20" t="n">
        <f aca="false">IF(AND($K52="Ja",$S52="JA"),$J52*(1-$T52),0)</f>
        <v>0</v>
      </c>
      <c r="V52" s="30" t="str">
        <f aca="false">IF(AND($S52="NEIN",OR(AND(Obj_Zielstandard="EH 55 EE",$X52="Ja"),AND(Obj_Zielstandard="EH 40 EE",$Y52="Ja"))),"Pflicht bei Zielstandard, aber nicht aufgenommen","")</f>
        <v/>
      </c>
      <c r="W52" s="15"/>
      <c r="X52" s="26" t="str">
        <f aca="false">INDEX(02_Massnahmenkatalog!$J:$J,MATCH($B52,02_Massnahmenkatalog!$B:$B,0))</f>
        <v>Ja</v>
      </c>
      <c r="Y52" s="26" t="str">
        <f aca="false">INDEX(02_Massnahmenkatalog!$K:$K,MATCH($B52,02_Massnahmenkatalog!$B:$B,0))</f>
        <v>Ja</v>
      </c>
    </row>
    <row r="53" customFormat="false" ht="68.65" hidden="false" customHeight="false" outlineLevel="0" collapsed="false">
      <c r="B53" s="18" t="s">
        <v>244</v>
      </c>
      <c r="C53" s="26" t="str">
        <f aca="false">INDEX(02_Massnahmenkatalog!$C:$C,MATCH($B53,02_Massnahmenkatalog!$B:$B,0))</f>
        <v>Hülle</v>
      </c>
      <c r="D53" s="27" t="str">
        <f aca="false">INDEX(02_Massnahmenkatalog!$D:$D,MATCH($B53,02_Massnahmenkatalog!$B:$B,0))</f>
        <v>Dachbodendämmung oberste Geschossdecke (falls kein Dachausbau)</v>
      </c>
      <c r="E53" s="26" t="str">
        <f aca="false">INDEX(02_Massnahmenkatalog!$E:$E,MATCH($B53,02_Massnahmenkatalog!$B:$B,0))</f>
        <v>€/m²</v>
      </c>
      <c r="F53" s="18" t="n">
        <f aca="false">Obj_Grundflaeche</f>
        <v>65</v>
      </c>
      <c r="G53" s="15"/>
      <c r="H53" s="18" t="n">
        <f aca="false">IF($G53="",$F53,$G53)</f>
        <v>65</v>
      </c>
      <c r="I53" s="28" t="n">
        <f aca="false">INDEX(02_Massnahmenkatalog!$F:$F,MATCH($B53,02_Massnahmenkatalog!$B:$B,0))</f>
        <v>27</v>
      </c>
      <c r="J53" s="20" t="n">
        <f aca="false">$H53*$I53</f>
        <v>1755</v>
      </c>
      <c r="K53" s="26" t="str">
        <f aca="false">INDEX(02_Massnahmenkatalog!$H:$H,MATCH($B53,02_Massnahmenkatalog!$B:$B,0))</f>
        <v>Ja</v>
      </c>
      <c r="L53" s="15"/>
      <c r="M53" s="15" t="n">
        <v>3</v>
      </c>
      <c r="N53" s="26" t="n">
        <f aca="false">INDEX(02_Massnahmenkatalog!$G:$G,MATCH($B53,02_Massnahmenkatalog!$B:$B,0))</f>
        <v>40</v>
      </c>
      <c r="O53" s="29" t="n">
        <f aca="false">INDEX(04_Nutzungsdauern!$C:$C,MATCH($M53,04_Nutzungsdauern!$B:$B,0))</f>
        <v>0.7</v>
      </c>
      <c r="P53" s="18" t="n">
        <f aca="false">$N53*$O53-(A_Jahr-IF($L53="",Obj_Baujahr,$L53))</f>
        <v>-20</v>
      </c>
      <c r="Q53" s="18" t="n">
        <f aca="false">A_Jahr+MAX(0,$P53)</f>
        <v>2026</v>
      </c>
      <c r="R53" s="15" t="s">
        <v>601</v>
      </c>
      <c r="S53" s="18" t="str">
        <f aca="false">IF($R53="Automatik",IF($Q53&lt;=A_Jahr+A_Horizont,"JA","NEIN"),IF(OR($R53="Sofort",$R53="In Horizont"),"JA","NEIN"))</f>
        <v>JA</v>
      </c>
      <c r="T53" s="16" t="n">
        <v>0</v>
      </c>
      <c r="U53" s="20" t="n">
        <f aca="false">IF(AND($K53="Ja",$S53="JA"),$J53*(1-$T53),0)</f>
        <v>1755</v>
      </c>
      <c r="V53" s="30" t="str">
        <f aca="false">IF(AND($S53="NEIN",OR(AND(Obj_Zielstandard="EH 55 EE",$X53="Ja"),AND(Obj_Zielstandard="EH 40 EE",$Y53="Ja"))),"Pflicht bei Zielstandard, aber nicht aufgenommen","")</f>
        <v/>
      </c>
      <c r="W53" s="15"/>
      <c r="X53" s="26" t="str">
        <f aca="false">INDEX(02_Massnahmenkatalog!$J:$J,MATCH($B53,02_Massnahmenkatalog!$B:$B,0))</f>
        <v>Ja</v>
      </c>
      <c r="Y53" s="26" t="str">
        <f aca="false">INDEX(02_Massnahmenkatalog!$K:$K,MATCH($B53,02_Massnahmenkatalog!$B:$B,0))</f>
        <v>Ja</v>
      </c>
    </row>
    <row r="54" customFormat="false" ht="57.45" hidden="false" customHeight="false" outlineLevel="0" collapsed="false">
      <c r="B54" s="18" t="s">
        <v>248</v>
      </c>
      <c r="C54" s="26" t="str">
        <f aca="false">INDEX(02_Massnahmenkatalog!$C:$C,MATCH($B54,02_Massnahmenkatalog!$B:$B,0))</f>
        <v>Hülle</v>
      </c>
      <c r="D54" s="27" t="str">
        <f aca="false">INDEX(02_Massnahmenkatalog!$D:$D,MATCH($B54,02_Massnahmenkatalog!$B:$B,0))</f>
        <v>WDVS Außenwand (U≤0,20, 16cm) inkl. Gerüst+Putz</v>
      </c>
      <c r="E54" s="26" t="str">
        <f aca="false">INDEX(02_Massnahmenkatalog!$E:$E,MATCH($B54,02_Massnahmenkatalog!$B:$B,0))</f>
        <v>€/m² Fassade</v>
      </c>
      <c r="F54" s="18" t="n">
        <f aca="false">Obj_Fassadenflaeche</f>
        <v>191.72048925454</v>
      </c>
      <c r="G54" s="15"/>
      <c r="H54" s="18" t="n">
        <f aca="false">IF($G54="",$F54,$G54)</f>
        <v>191.72048925454</v>
      </c>
      <c r="I54" s="28" t="n">
        <f aca="false">INDEX(02_Massnahmenkatalog!$F:$F,MATCH($B54,02_Massnahmenkatalog!$B:$B,0))</f>
        <v>180</v>
      </c>
      <c r="J54" s="20" t="n">
        <f aca="false">$H54*$I54</f>
        <v>34509.6880658171</v>
      </c>
      <c r="K54" s="26" t="str">
        <f aca="false">INDEX(02_Massnahmenkatalog!$H:$H,MATCH($B54,02_Massnahmenkatalog!$B:$B,0))</f>
        <v>Ja</v>
      </c>
      <c r="L54" s="15"/>
      <c r="M54" s="15" t="n">
        <v>3</v>
      </c>
      <c r="N54" s="26" t="n">
        <f aca="false">INDEX(02_Massnahmenkatalog!$G:$G,MATCH($B54,02_Massnahmenkatalog!$B:$B,0))</f>
        <v>40</v>
      </c>
      <c r="O54" s="29" t="n">
        <f aca="false">INDEX(04_Nutzungsdauern!$C:$C,MATCH($M54,04_Nutzungsdauern!$B:$B,0))</f>
        <v>0.7</v>
      </c>
      <c r="P54" s="18" t="n">
        <f aca="false">$N54*$O54-(A_Jahr-IF($L54="",Obj_Baujahr,$L54))</f>
        <v>-20</v>
      </c>
      <c r="Q54" s="18" t="n">
        <f aca="false">A_Jahr+MAX(0,$P54)</f>
        <v>2026</v>
      </c>
      <c r="R54" s="15" t="s">
        <v>601</v>
      </c>
      <c r="S54" s="18" t="str">
        <f aca="false">IF($R54="Automatik",IF($Q54&lt;=A_Jahr+A_Horizont,"JA","NEIN"),IF(OR($R54="Sofort",$R54="In Horizont"),"JA","NEIN"))</f>
        <v>JA</v>
      </c>
      <c r="T54" s="16" t="n">
        <v>0</v>
      </c>
      <c r="U54" s="20" t="n">
        <f aca="false">IF(AND($K54="Ja",$S54="JA"),$J54*(1-$T54),0)</f>
        <v>34509.6880658171</v>
      </c>
      <c r="V54" s="30" t="str">
        <f aca="false">IF(AND($S54="NEIN",OR(AND(Obj_Zielstandard="EH 55 EE",$X54="Ja"),AND(Obj_Zielstandard="EH 40 EE",$Y54="Ja"))),"Pflicht bei Zielstandard, aber nicht aufgenommen","")</f>
        <v/>
      </c>
      <c r="W54" s="15"/>
      <c r="X54" s="26" t="str">
        <f aca="false">INDEX(02_Massnahmenkatalog!$J:$J,MATCH($B54,02_Massnahmenkatalog!$B:$B,0))</f>
        <v>Ja</v>
      </c>
      <c r="Y54" s="26" t="str">
        <f aca="false">INDEX(02_Massnahmenkatalog!$K:$K,MATCH($B54,02_Massnahmenkatalog!$B:$B,0))</f>
        <v>Ja</v>
      </c>
    </row>
    <row r="55" customFormat="false" ht="46.25" hidden="false" customHeight="false" outlineLevel="0" collapsed="false">
      <c r="B55" s="18" t="s">
        <v>252</v>
      </c>
      <c r="C55" s="26" t="str">
        <f aca="false">INDEX(02_Massnahmenkatalog!$C:$C,MATCH($B55,02_Massnahmenkatalog!$B:$B,0))</f>
        <v>Hülle</v>
      </c>
      <c r="D55" s="27" t="str">
        <f aca="false">INDEX(02_Massnahmenkatalog!$D:$D,MATCH($B55,02_Massnahmenkatalog!$B:$B,0))</f>
        <v>Fenster 3-fach-Verglasung inkl. Einbau</v>
      </c>
      <c r="E55" s="26" t="str">
        <f aca="false">INDEX(02_Massnahmenkatalog!$E:$E,MATCH($B55,02_Massnahmenkatalog!$B:$B,0))</f>
        <v>€/m² Fensterfläche</v>
      </c>
      <c r="F55" s="18" t="n">
        <f aca="false">Obj_Fensterflaeche</f>
        <v>28.7580733881809</v>
      </c>
      <c r="G55" s="15"/>
      <c r="H55" s="18" t="n">
        <f aca="false">IF($G55="",$F55,$G55)</f>
        <v>28.7580733881809</v>
      </c>
      <c r="I55" s="28" t="n">
        <f aca="false">INDEX(02_Massnahmenkatalog!$F:$F,MATCH($B55,02_Massnahmenkatalog!$B:$B,0))</f>
        <v>285</v>
      </c>
      <c r="J55" s="20" t="n">
        <f aca="false">$H55*$I55</f>
        <v>8196.05091563156</v>
      </c>
      <c r="K55" s="26" t="str">
        <f aca="false">INDEX(02_Massnahmenkatalog!$H:$H,MATCH($B55,02_Massnahmenkatalog!$B:$B,0))</f>
        <v>Ja</v>
      </c>
      <c r="L55" s="15"/>
      <c r="M55" s="15" t="n">
        <v>3</v>
      </c>
      <c r="N55" s="26" t="n">
        <f aca="false">INDEX(02_Massnahmenkatalog!$G:$G,MATCH($B55,02_Massnahmenkatalog!$B:$B,0))</f>
        <v>37</v>
      </c>
      <c r="O55" s="29" t="n">
        <f aca="false">INDEX(04_Nutzungsdauern!$C:$C,MATCH($M55,04_Nutzungsdauern!$B:$B,0))</f>
        <v>0.7</v>
      </c>
      <c r="P55" s="18" t="n">
        <f aca="false">$N55*$O55-(A_Jahr-IF($L55="",Obj_Baujahr,$L55))</f>
        <v>-22.1</v>
      </c>
      <c r="Q55" s="18" t="n">
        <f aca="false">A_Jahr+MAX(0,$P55)</f>
        <v>2026</v>
      </c>
      <c r="R55" s="15" t="s">
        <v>601</v>
      </c>
      <c r="S55" s="18" t="str">
        <f aca="false">IF($R55="Automatik",IF($Q55&lt;=A_Jahr+A_Horizont,"JA","NEIN"),IF(OR($R55="Sofort",$R55="In Horizont"),"JA","NEIN"))</f>
        <v>JA</v>
      </c>
      <c r="T55" s="16" t="n">
        <v>0</v>
      </c>
      <c r="U55" s="20" t="n">
        <f aca="false">IF(AND($K55="Ja",$S55="JA"),$J55*(1-$T55),0)</f>
        <v>8196.05091563156</v>
      </c>
      <c r="V55" s="30" t="str">
        <f aca="false">IF(AND($S55="NEIN",OR(AND(Obj_Zielstandard="EH 55 EE",$X55="Ja"),AND(Obj_Zielstandard="EH 40 EE",$Y55="Ja"))),"Pflicht bei Zielstandard, aber nicht aufgenommen","")</f>
        <v/>
      </c>
      <c r="W55" s="15"/>
      <c r="X55" s="26" t="str">
        <f aca="false">INDEX(02_Massnahmenkatalog!$J:$J,MATCH($B55,02_Massnahmenkatalog!$B:$B,0))</f>
        <v>Ja</v>
      </c>
      <c r="Y55" s="26" t="str">
        <f aca="false">INDEX(02_Massnahmenkatalog!$K:$K,MATCH($B55,02_Massnahmenkatalog!$B:$B,0))</f>
        <v>Ja</v>
      </c>
    </row>
    <row r="56" customFormat="false" ht="35.05" hidden="false" customHeight="false" outlineLevel="0" collapsed="false">
      <c r="B56" s="18" t="s">
        <v>256</v>
      </c>
      <c r="C56" s="26" t="str">
        <f aca="false">INDEX(02_Massnahmenkatalog!$C:$C,MATCH($B56,02_Massnahmenkatalog!$B:$B,0))</f>
        <v>Hülle</v>
      </c>
      <c r="D56" s="27" t="str">
        <f aca="false">INDEX(02_Massnahmenkatalog!$D:$D,MATCH($B56,02_Massnahmenkatalog!$B:$B,0))</f>
        <v>Haustür RC2/RC3 inkl. Einbau</v>
      </c>
      <c r="E56" s="26" t="str">
        <f aca="false">INDEX(02_Massnahmenkatalog!$E:$E,MATCH($B56,02_Massnahmenkatalog!$B:$B,0))</f>
        <v>€/Stück</v>
      </c>
      <c r="F56" s="18" t="n">
        <f aca="false">1</f>
        <v>1</v>
      </c>
      <c r="G56" s="15"/>
      <c r="H56" s="18" t="n">
        <f aca="false">IF($G56="",$F56,$G56)</f>
        <v>1</v>
      </c>
      <c r="I56" s="28" t="n">
        <f aca="false">INDEX(02_Massnahmenkatalog!$F:$F,MATCH($B56,02_Massnahmenkatalog!$B:$B,0))</f>
        <v>2800</v>
      </c>
      <c r="J56" s="20" t="n">
        <f aca="false">$H56*$I56</f>
        <v>2800</v>
      </c>
      <c r="K56" s="26" t="str">
        <f aca="false">INDEX(02_Massnahmenkatalog!$H:$H,MATCH($B56,02_Massnahmenkatalog!$B:$B,0))</f>
        <v>Ja</v>
      </c>
      <c r="L56" s="15"/>
      <c r="M56" s="15" t="n">
        <v>3</v>
      </c>
      <c r="N56" s="26" t="n">
        <f aca="false">INDEX(02_Massnahmenkatalog!$G:$G,MATCH($B56,02_Massnahmenkatalog!$B:$B,0))</f>
        <v>45</v>
      </c>
      <c r="O56" s="29" t="n">
        <f aca="false">INDEX(04_Nutzungsdauern!$C:$C,MATCH($M56,04_Nutzungsdauern!$B:$B,0))</f>
        <v>0.7</v>
      </c>
      <c r="P56" s="18" t="n">
        <f aca="false">$N56*$O56-(A_Jahr-IF($L56="",Obj_Baujahr,$L56))</f>
        <v>-16.5</v>
      </c>
      <c r="Q56" s="18" t="n">
        <f aca="false">A_Jahr+MAX(0,$P56)</f>
        <v>2026</v>
      </c>
      <c r="R56" s="15" t="s">
        <v>601</v>
      </c>
      <c r="S56" s="18" t="str">
        <f aca="false">IF($R56="Automatik",IF($Q56&lt;=A_Jahr+A_Horizont,"JA","NEIN"),IF(OR($R56="Sofort",$R56="In Horizont"),"JA","NEIN"))</f>
        <v>JA</v>
      </c>
      <c r="T56" s="16" t="n">
        <v>0</v>
      </c>
      <c r="U56" s="20" t="n">
        <f aca="false">IF(AND($K56="Ja",$S56="JA"),$J56*(1-$T56),0)</f>
        <v>2800</v>
      </c>
      <c r="V56" s="30" t="str">
        <f aca="false">IF(AND($S56="NEIN",OR(AND(Obj_Zielstandard="EH 55 EE",$X56="Ja"),AND(Obj_Zielstandard="EH 40 EE",$Y56="Ja"))),"Pflicht bei Zielstandard, aber nicht aufgenommen","")</f>
        <v/>
      </c>
      <c r="W56" s="15"/>
      <c r="X56" s="26" t="str">
        <f aca="false">INDEX(02_Massnahmenkatalog!$J:$J,MATCH($B56,02_Massnahmenkatalog!$B:$B,0))</f>
        <v>Nein</v>
      </c>
      <c r="Y56" s="26" t="str">
        <f aca="false">INDEX(02_Massnahmenkatalog!$K:$K,MATCH($B56,02_Massnahmenkatalog!$B:$B,0))</f>
        <v>Nein</v>
      </c>
    </row>
    <row r="57" customFormat="false" ht="35.05" hidden="false" customHeight="false" outlineLevel="0" collapsed="false">
      <c r="B57" s="18" t="s">
        <v>260</v>
      </c>
      <c r="C57" s="26" t="str">
        <f aca="false">INDEX(02_Massnahmenkatalog!$C:$C,MATCH($B57,02_Massnahmenkatalog!$B:$B,0))</f>
        <v>Hülle</v>
      </c>
      <c r="D57" s="27" t="str">
        <f aca="false">INDEX(02_Massnahmenkatalog!$D:$D,MATCH($B57,02_Massnahmenkatalog!$B:$B,0))</f>
        <v>Nebeneingangstür Stahl RC2</v>
      </c>
      <c r="E57" s="26" t="str">
        <f aca="false">INDEX(02_Massnahmenkatalog!$E:$E,MATCH($B57,02_Massnahmenkatalog!$B:$B,0))</f>
        <v>€/Stück</v>
      </c>
      <c r="F57" s="18" t="n">
        <f aca="false">MAX(0,Obj_Geschosse-1)</f>
        <v>1</v>
      </c>
      <c r="G57" s="15"/>
      <c r="H57" s="18" t="n">
        <f aca="false">IF($G57="",$F57,$G57)</f>
        <v>1</v>
      </c>
      <c r="I57" s="28" t="n">
        <f aca="false">INDEX(02_Massnahmenkatalog!$F:$F,MATCH($B57,02_Massnahmenkatalog!$B:$B,0))</f>
        <v>1000</v>
      </c>
      <c r="J57" s="20" t="n">
        <f aca="false">$H57*$I57</f>
        <v>1000</v>
      </c>
      <c r="K57" s="26" t="str">
        <f aca="false">INDEX(02_Massnahmenkatalog!$H:$H,MATCH($B57,02_Massnahmenkatalog!$B:$B,0))</f>
        <v>Ja</v>
      </c>
      <c r="L57" s="15"/>
      <c r="M57" s="15" t="n">
        <v>3</v>
      </c>
      <c r="N57" s="26" t="n">
        <f aca="false">INDEX(02_Massnahmenkatalog!$G:$G,MATCH($B57,02_Massnahmenkatalog!$B:$B,0))</f>
        <v>45</v>
      </c>
      <c r="O57" s="29" t="n">
        <f aca="false">INDEX(04_Nutzungsdauern!$C:$C,MATCH($M57,04_Nutzungsdauern!$B:$B,0))</f>
        <v>0.7</v>
      </c>
      <c r="P57" s="18" t="n">
        <f aca="false">$N57*$O57-(A_Jahr-IF($L57="",Obj_Baujahr,$L57))</f>
        <v>-16.5</v>
      </c>
      <c r="Q57" s="18" t="n">
        <f aca="false">A_Jahr+MAX(0,$P57)</f>
        <v>2026</v>
      </c>
      <c r="R57" s="15" t="s">
        <v>601</v>
      </c>
      <c r="S57" s="18" t="str">
        <f aca="false">IF($R57="Automatik",IF($Q57&lt;=A_Jahr+A_Horizont,"JA","NEIN"),IF(OR($R57="Sofort",$R57="In Horizont"),"JA","NEIN"))</f>
        <v>JA</v>
      </c>
      <c r="T57" s="16" t="n">
        <v>0</v>
      </c>
      <c r="U57" s="20" t="n">
        <f aca="false">IF(AND($K57="Ja",$S57="JA"),$J57*(1-$T57),0)</f>
        <v>1000</v>
      </c>
      <c r="V57" s="30" t="str">
        <f aca="false">IF(AND($S57="NEIN",OR(AND(Obj_Zielstandard="EH 55 EE",$X57="Ja"),AND(Obj_Zielstandard="EH 40 EE",$Y57="Ja"))),"Pflicht bei Zielstandard, aber nicht aufgenommen","")</f>
        <v/>
      </c>
      <c r="W57" s="15"/>
      <c r="X57" s="26" t="str">
        <f aca="false">INDEX(02_Massnahmenkatalog!$J:$J,MATCH($B57,02_Massnahmenkatalog!$B:$B,0))</f>
        <v>Nein</v>
      </c>
      <c r="Y57" s="26" t="str">
        <f aca="false">INDEX(02_Massnahmenkatalog!$K:$K,MATCH($B57,02_Massnahmenkatalog!$B:$B,0))</f>
        <v>Nein</v>
      </c>
    </row>
    <row r="58" customFormat="false" ht="35.05" hidden="false" customHeight="false" outlineLevel="0" collapsed="false">
      <c r="B58" s="18" t="s">
        <v>262</v>
      </c>
      <c r="C58" s="26" t="str">
        <f aca="false">INDEX(02_Massnahmenkatalog!$C:$C,MATCH($B58,02_Massnahmenkatalog!$B:$B,0))</f>
        <v>Hülle</v>
      </c>
      <c r="D58" s="27" t="str">
        <f aca="false">INDEX(02_Massnahmenkatalog!$D:$D,MATCH($B58,02_Massnahmenkatalog!$B:$B,0))</f>
        <v>Rollläden elektrisch nachrüsten</v>
      </c>
      <c r="E58" s="26" t="str">
        <f aca="false">INDEX(02_Massnahmenkatalog!$E:$E,MATCH($B58,02_Massnahmenkatalog!$B:$B,0))</f>
        <v>€/Fenster</v>
      </c>
      <c r="F58" s="18" t="n">
        <f aca="false">Obj_AnzFenster</f>
        <v>16.9165137577535</v>
      </c>
      <c r="G58" s="15"/>
      <c r="H58" s="18" t="n">
        <f aca="false">IF($G58="",$F58,$G58)</f>
        <v>16.9165137577535</v>
      </c>
      <c r="I58" s="28" t="n">
        <f aca="false">INDEX(02_Massnahmenkatalog!$F:$F,MATCH($B58,02_Massnahmenkatalog!$B:$B,0))</f>
        <v>850</v>
      </c>
      <c r="J58" s="20" t="n">
        <f aca="false">$H58*$I58</f>
        <v>14379.0366940905</v>
      </c>
      <c r="K58" s="26" t="str">
        <f aca="false">INDEX(02_Massnahmenkatalog!$H:$H,MATCH($B58,02_Massnahmenkatalog!$B:$B,0))</f>
        <v>Ja</v>
      </c>
      <c r="L58" s="15"/>
      <c r="M58" s="15" t="n">
        <v>3</v>
      </c>
      <c r="N58" s="26" t="n">
        <f aca="false">INDEX(02_Massnahmenkatalog!$G:$G,MATCH($B58,02_Massnahmenkatalog!$B:$B,0))</f>
        <v>30</v>
      </c>
      <c r="O58" s="29" t="n">
        <f aca="false">INDEX(04_Nutzungsdauern!$C:$C,MATCH($M58,04_Nutzungsdauern!$B:$B,0))</f>
        <v>0.7</v>
      </c>
      <c r="P58" s="18" t="n">
        <f aca="false">$N58*$O58-(A_Jahr-IF($L58="",Obj_Baujahr,$L58))</f>
        <v>-27</v>
      </c>
      <c r="Q58" s="18" t="n">
        <f aca="false">A_Jahr+MAX(0,$P58)</f>
        <v>2026</v>
      </c>
      <c r="R58" s="15" t="s">
        <v>601</v>
      </c>
      <c r="S58" s="18" t="str">
        <f aca="false">IF($R58="Automatik",IF($Q58&lt;=A_Jahr+A_Horizont,"JA","NEIN"),IF(OR($R58="Sofort",$R58="In Horizont"),"JA","NEIN"))</f>
        <v>JA</v>
      </c>
      <c r="T58" s="16" t="n">
        <v>0</v>
      </c>
      <c r="U58" s="20" t="n">
        <f aca="false">IF(AND($K58="Ja",$S58="JA"),$J58*(1-$T58),0)</f>
        <v>14379.0366940905</v>
      </c>
      <c r="V58" s="30" t="str">
        <f aca="false">IF(AND($S58="NEIN",OR(AND(Obj_Zielstandard="EH 55 EE",$X58="Ja"),AND(Obj_Zielstandard="EH 40 EE",$Y58="Ja"))),"Pflicht bei Zielstandard, aber nicht aufgenommen","")</f>
        <v/>
      </c>
      <c r="W58" s="15"/>
      <c r="X58" s="26" t="str">
        <f aca="false">INDEX(02_Massnahmenkatalog!$J:$J,MATCH($B58,02_Massnahmenkatalog!$B:$B,0))</f>
        <v>Nein</v>
      </c>
      <c r="Y58" s="26" t="str">
        <f aca="false">INDEX(02_Massnahmenkatalog!$K:$K,MATCH($B58,02_Massnahmenkatalog!$B:$B,0))</f>
        <v>Nein</v>
      </c>
    </row>
    <row r="59" customFormat="false" ht="35.05" hidden="false" customHeight="false" outlineLevel="0" collapsed="false">
      <c r="B59" s="18" t="s">
        <v>265</v>
      </c>
      <c r="C59" s="26" t="str">
        <f aca="false">INDEX(02_Massnahmenkatalog!$C:$C,MATCH($B59,02_Massnahmenkatalog!$B:$B,0))</f>
        <v>Hülle</v>
      </c>
      <c r="D59" s="27" t="str">
        <f aca="false">INDEX(02_Massnahmenkatalog!$D:$D,MATCH($B59,02_Massnahmenkatalog!$B:$B,0))</f>
        <v>Kellerdeckendämmung von unten</v>
      </c>
      <c r="E59" s="26" t="str">
        <f aca="false">INDEX(02_Massnahmenkatalog!$E:$E,MATCH($B59,02_Massnahmenkatalog!$B:$B,0))</f>
        <v>€/m²</v>
      </c>
      <c r="F59" s="18" t="n">
        <f aca="false">IF(Obj_KellerTyp&lt;&gt;"Kein Keller",Obj_Grundflaeche,0)</f>
        <v>65</v>
      </c>
      <c r="G59" s="15"/>
      <c r="H59" s="18" t="n">
        <f aca="false">IF($G59="",$F59,$G59)</f>
        <v>65</v>
      </c>
      <c r="I59" s="28" t="n">
        <f aca="false">INDEX(02_Massnahmenkatalog!$F:$F,MATCH($B59,02_Massnahmenkatalog!$B:$B,0))</f>
        <v>32</v>
      </c>
      <c r="J59" s="20" t="n">
        <f aca="false">$H59*$I59</f>
        <v>2080</v>
      </c>
      <c r="K59" s="26" t="str">
        <f aca="false">INDEX(02_Massnahmenkatalog!$H:$H,MATCH($B59,02_Massnahmenkatalog!$B:$B,0))</f>
        <v>Ja</v>
      </c>
      <c r="L59" s="15"/>
      <c r="M59" s="15" t="n">
        <v>3</v>
      </c>
      <c r="N59" s="26" t="n">
        <f aca="false">INDEX(02_Massnahmenkatalog!$G:$G,MATCH($B59,02_Massnahmenkatalog!$B:$B,0))</f>
        <v>40</v>
      </c>
      <c r="O59" s="29" t="n">
        <f aca="false">INDEX(04_Nutzungsdauern!$C:$C,MATCH($M59,04_Nutzungsdauern!$B:$B,0))</f>
        <v>0.7</v>
      </c>
      <c r="P59" s="18" t="n">
        <f aca="false">$N59*$O59-(A_Jahr-IF($L59="",Obj_Baujahr,$L59))</f>
        <v>-20</v>
      </c>
      <c r="Q59" s="18" t="n">
        <f aca="false">A_Jahr+MAX(0,$P59)</f>
        <v>2026</v>
      </c>
      <c r="R59" s="15" t="s">
        <v>601</v>
      </c>
      <c r="S59" s="18" t="str">
        <f aca="false">IF($R59="Automatik",IF($Q59&lt;=A_Jahr+A_Horizont,"JA","NEIN"),IF(OR($R59="Sofort",$R59="In Horizont"),"JA","NEIN"))</f>
        <v>JA</v>
      </c>
      <c r="T59" s="16" t="n">
        <v>0</v>
      </c>
      <c r="U59" s="20" t="n">
        <f aca="false">IF(AND($K59="Ja",$S59="JA"),$J59*(1-$T59),0)</f>
        <v>2080</v>
      </c>
      <c r="V59" s="30" t="str">
        <f aca="false">IF(AND($S59="NEIN",OR(AND(Obj_Zielstandard="EH 55 EE",$X59="Ja"),AND(Obj_Zielstandard="EH 40 EE",$Y59="Ja"))),"Pflicht bei Zielstandard, aber nicht aufgenommen","")</f>
        <v/>
      </c>
      <c r="W59" s="15"/>
      <c r="X59" s="26" t="str">
        <f aca="false">INDEX(02_Massnahmenkatalog!$J:$J,MATCH($B59,02_Massnahmenkatalog!$B:$B,0))</f>
        <v>Ja</v>
      </c>
      <c r="Y59" s="26" t="str">
        <f aca="false">INDEX(02_Massnahmenkatalog!$K:$K,MATCH($B59,02_Massnahmenkatalog!$B:$B,0))</f>
        <v>Ja</v>
      </c>
    </row>
    <row r="60" customFormat="false" ht="46.25" hidden="false" customHeight="false" outlineLevel="0" collapsed="false">
      <c r="B60" s="18" t="s">
        <v>268</v>
      </c>
      <c r="C60" s="26" t="str">
        <f aca="false">INDEX(02_Massnahmenkatalog!$C:$C,MATCH($B60,02_Massnahmenkatalog!$B:$B,0))</f>
        <v>Hülle</v>
      </c>
      <c r="D60" s="27" t="str">
        <f aca="false">INDEX(02_Massnahmenkatalog!$D:$D,MATCH($B60,02_Massnahmenkatalog!$B:$B,0))</f>
        <v>Perimeterdämmung + Kellerabdichtung außen</v>
      </c>
      <c r="E60" s="26" t="str">
        <f aca="false">INDEX(02_Massnahmenkatalog!$E:$E,MATCH($B60,02_Massnahmenkatalog!$B:$B,0))</f>
        <v>€/lfm Umfang</v>
      </c>
      <c r="F60" s="18" t="n">
        <f aca="false">IF(Obj_KellerTyp="Vollkeller",Obj_Umfang,0)</f>
        <v>33.0552567680241</v>
      </c>
      <c r="G60" s="15"/>
      <c r="H60" s="18" t="n">
        <f aca="false">IF($G60="",$F60,$G60)</f>
        <v>33.0552567680241</v>
      </c>
      <c r="I60" s="28" t="n">
        <f aca="false">INDEX(02_Massnahmenkatalog!$F:$F,MATCH($B60,02_Massnahmenkatalog!$B:$B,0))</f>
        <v>300</v>
      </c>
      <c r="J60" s="20" t="n">
        <f aca="false">$H60*$I60</f>
        <v>9916.57703040722</v>
      </c>
      <c r="K60" s="26" t="str">
        <f aca="false">INDEX(02_Massnahmenkatalog!$H:$H,MATCH($B60,02_Massnahmenkatalog!$B:$B,0))</f>
        <v>Ja</v>
      </c>
      <c r="L60" s="15"/>
      <c r="M60" s="15" t="n">
        <v>3</v>
      </c>
      <c r="N60" s="26" t="n">
        <f aca="false">INDEX(02_Massnahmenkatalog!$G:$G,MATCH($B60,02_Massnahmenkatalog!$B:$B,0))</f>
        <v>40</v>
      </c>
      <c r="O60" s="29" t="n">
        <f aca="false">INDEX(04_Nutzungsdauern!$C:$C,MATCH($M60,04_Nutzungsdauern!$B:$B,0))</f>
        <v>0.7</v>
      </c>
      <c r="P60" s="18" t="n">
        <f aca="false">$N60*$O60-(A_Jahr-IF($L60="",Obj_Baujahr,$L60))</f>
        <v>-20</v>
      </c>
      <c r="Q60" s="18" t="n">
        <f aca="false">A_Jahr+MAX(0,$P60)</f>
        <v>2026</v>
      </c>
      <c r="R60" s="15" t="s">
        <v>601</v>
      </c>
      <c r="S60" s="18" t="str">
        <f aca="false">IF($R60="Automatik",IF($Q60&lt;=A_Jahr+A_Horizont,"JA","NEIN"),IF(OR($R60="Sofort",$R60="In Horizont"),"JA","NEIN"))</f>
        <v>JA</v>
      </c>
      <c r="T60" s="16" t="n">
        <v>0</v>
      </c>
      <c r="U60" s="20" t="n">
        <f aca="false">IF(AND($K60="Ja",$S60="JA"),$J60*(1-$T60),0)</f>
        <v>9916.57703040722</v>
      </c>
      <c r="V60" s="30" t="str">
        <f aca="false">IF(AND($S60="NEIN",OR(AND(Obj_Zielstandard="EH 55 EE",$X60="Ja"),AND(Obj_Zielstandard="EH 40 EE",$Y60="Ja"))),"Pflicht bei Zielstandard, aber nicht aufgenommen","")</f>
        <v/>
      </c>
      <c r="W60" s="15"/>
      <c r="X60" s="26" t="str">
        <f aca="false">INDEX(02_Massnahmenkatalog!$J:$J,MATCH($B60,02_Massnahmenkatalog!$B:$B,0))</f>
        <v>Nein</v>
      </c>
      <c r="Y60" s="26" t="str">
        <f aca="false">INDEX(02_Massnahmenkatalog!$K:$K,MATCH($B60,02_Massnahmenkatalog!$B:$B,0))</f>
        <v>Nein</v>
      </c>
    </row>
    <row r="61" customFormat="false" ht="35.05" hidden="false" customHeight="false" outlineLevel="0" collapsed="false">
      <c r="B61" s="18" t="s">
        <v>272</v>
      </c>
      <c r="C61" s="26" t="str">
        <f aca="false">INDEX(02_Massnahmenkatalog!$C:$C,MATCH($B61,02_Massnahmenkatalog!$B:$B,0))</f>
        <v>Hülle</v>
      </c>
      <c r="D61" s="27" t="str">
        <f aca="false">INDEX(02_Massnahmenkatalog!$D:$D,MATCH($B61,02_Massnahmenkatalog!$B:$B,0))</f>
        <v>Gerüst (Fassade+Dach, pauschal)</v>
      </c>
      <c r="E61" s="26" t="str">
        <f aca="false">INDEX(02_Massnahmenkatalog!$E:$E,MATCH($B61,02_Massnahmenkatalog!$B:$B,0))</f>
        <v>€ pauschal</v>
      </c>
      <c r="F61" s="18" t="n">
        <f aca="false">1</f>
        <v>1</v>
      </c>
      <c r="G61" s="15"/>
      <c r="H61" s="18" t="n">
        <f aca="false">IF($G61="",$F61,$G61)</f>
        <v>1</v>
      </c>
      <c r="I61" s="28" t="n">
        <f aca="false">INDEX(02_Massnahmenkatalog!$F:$F,MATCH($B61,02_Massnahmenkatalog!$B:$B,0))</f>
        <v>2700</v>
      </c>
      <c r="J61" s="20" t="n">
        <f aca="false">$H61*$I61</f>
        <v>2700</v>
      </c>
      <c r="K61" s="26" t="str">
        <f aca="false">INDEX(02_Massnahmenkatalog!$H:$H,MATCH($B61,02_Massnahmenkatalog!$B:$B,0))</f>
        <v>Nein</v>
      </c>
      <c r="L61" s="15"/>
      <c r="M61" s="15" t="n">
        <v>3</v>
      </c>
      <c r="N61" s="26" t="n">
        <f aca="false">INDEX(02_Massnahmenkatalog!$G:$G,MATCH($B61,02_Massnahmenkatalog!$B:$B,0))</f>
        <v>0</v>
      </c>
      <c r="O61" s="29" t="n">
        <f aca="false">INDEX(04_Nutzungsdauern!$C:$C,MATCH($M61,04_Nutzungsdauern!$B:$B,0))</f>
        <v>0.7</v>
      </c>
      <c r="P61" s="18" t="n">
        <f aca="false">$N61*$O61-(A_Jahr-IF($L61="",Obj_Baujahr,$L61))</f>
        <v>-48</v>
      </c>
      <c r="Q61" s="18" t="n">
        <f aca="false">A_Jahr+MAX(0,$P61)</f>
        <v>2026</v>
      </c>
      <c r="R61" s="15" t="s">
        <v>601</v>
      </c>
      <c r="S61" s="18" t="str">
        <f aca="false">IF($R61="Automatik",IF($Q61&lt;=A_Jahr+A_Horizont,"JA","NEIN"),IF(OR($R61="Sofort",$R61="In Horizont"),"JA","NEIN"))</f>
        <v>JA</v>
      </c>
      <c r="T61" s="16" t="n">
        <v>0</v>
      </c>
      <c r="U61" s="20" t="n">
        <f aca="false">IF(AND($K61="Ja",$S61="JA"),$J61*(1-$T61),0)</f>
        <v>0</v>
      </c>
      <c r="V61" s="30" t="str">
        <f aca="false">IF(AND($S61="NEIN",OR(AND(Obj_Zielstandard="EH 55 EE",$X61="Ja"),AND(Obj_Zielstandard="EH 40 EE",$Y61="Ja"))),"Pflicht bei Zielstandard, aber nicht aufgenommen","")</f>
        <v/>
      </c>
      <c r="W61" s="15"/>
      <c r="X61" s="26" t="str">
        <f aca="false">INDEX(02_Massnahmenkatalog!$J:$J,MATCH($B61,02_Massnahmenkatalog!$B:$B,0))</f>
        <v>Nein</v>
      </c>
      <c r="Y61" s="26" t="str">
        <f aca="false">INDEX(02_Massnahmenkatalog!$K:$K,MATCH($B61,02_Massnahmenkatalog!$B:$B,0))</f>
        <v>Nein</v>
      </c>
    </row>
    <row r="62" customFormat="false" ht="46.25" hidden="false" customHeight="false" outlineLevel="0" collapsed="false">
      <c r="B62" s="18" t="s">
        <v>275</v>
      </c>
      <c r="C62" s="26" t="str">
        <f aca="false">INDEX(02_Massnahmenkatalog!$C:$C,MATCH($B62,02_Massnahmenkatalog!$B:$B,0))</f>
        <v>Hülle</v>
      </c>
      <c r="D62" s="27" t="str">
        <f aca="false">INDEX(02_Massnahmenkatalog!$D:$D,MATCH($B62,02_Massnahmenkatalog!$B:$B,0))</f>
        <v>Blower-Door-Test + Wärmebrückennachweis</v>
      </c>
      <c r="E62" s="26" t="str">
        <f aca="false">INDEX(02_Massnahmenkatalog!$E:$E,MATCH($B62,02_Massnahmenkatalog!$B:$B,0))</f>
        <v>€ pauschal</v>
      </c>
      <c r="F62" s="18" t="n">
        <f aca="false">1</f>
        <v>1</v>
      </c>
      <c r="G62" s="15"/>
      <c r="H62" s="18" t="n">
        <f aca="false">IF($G62="",$F62,$G62)</f>
        <v>1</v>
      </c>
      <c r="I62" s="28" t="n">
        <f aca="false">INDEX(02_Massnahmenkatalog!$F:$F,MATCH($B62,02_Massnahmenkatalog!$B:$B,0))</f>
        <v>1140</v>
      </c>
      <c r="J62" s="20" t="n">
        <f aca="false">$H62*$I62</f>
        <v>1140</v>
      </c>
      <c r="K62" s="26" t="str">
        <f aca="false">INDEX(02_Massnahmenkatalog!$H:$H,MATCH($B62,02_Massnahmenkatalog!$B:$B,0))</f>
        <v>Ja</v>
      </c>
      <c r="L62" s="15"/>
      <c r="M62" s="15" t="n">
        <v>3</v>
      </c>
      <c r="N62" s="26" t="n">
        <f aca="false">INDEX(02_Massnahmenkatalog!$G:$G,MATCH($B62,02_Massnahmenkatalog!$B:$B,0))</f>
        <v>0</v>
      </c>
      <c r="O62" s="29" t="n">
        <f aca="false">INDEX(04_Nutzungsdauern!$C:$C,MATCH($M62,04_Nutzungsdauern!$B:$B,0))</f>
        <v>0.7</v>
      </c>
      <c r="P62" s="18" t="n">
        <f aca="false">$N62*$O62-(A_Jahr-IF($L62="",Obj_Baujahr,$L62))</f>
        <v>-48</v>
      </c>
      <c r="Q62" s="18" t="n">
        <f aca="false">A_Jahr+MAX(0,$P62)</f>
        <v>2026</v>
      </c>
      <c r="R62" s="15" t="s">
        <v>601</v>
      </c>
      <c r="S62" s="18" t="str">
        <f aca="false">IF($R62="Automatik",IF($Q62&lt;=A_Jahr+A_Horizont,"JA","NEIN"),IF(OR($R62="Sofort",$R62="In Horizont"),"JA","NEIN"))</f>
        <v>JA</v>
      </c>
      <c r="T62" s="16" t="n">
        <v>0</v>
      </c>
      <c r="U62" s="20" t="n">
        <f aca="false">IF(AND($K62="Ja",$S62="JA"),$J62*(1-$T62),0)</f>
        <v>1140</v>
      </c>
      <c r="V62" s="30" t="str">
        <f aca="false">IF(AND($S62="NEIN",OR(AND(Obj_Zielstandard="EH 55 EE",$X62="Ja"),AND(Obj_Zielstandard="EH 40 EE",$Y62="Ja"))),"Pflicht bei Zielstandard, aber nicht aufgenommen","")</f>
        <v/>
      </c>
      <c r="W62" s="15"/>
      <c r="X62" s="26" t="str">
        <f aca="false">INDEX(02_Massnahmenkatalog!$J:$J,MATCH($B62,02_Massnahmenkatalog!$B:$B,0))</f>
        <v>Ja</v>
      </c>
      <c r="Y62" s="26" t="str">
        <f aca="false">INDEX(02_Massnahmenkatalog!$K:$K,MATCH($B62,02_Massnahmenkatalog!$B:$B,0))</f>
        <v>Ja</v>
      </c>
    </row>
    <row r="63" customFormat="false" ht="68.65" hidden="false" customHeight="false" outlineLevel="0" collapsed="false">
      <c r="B63" s="18" t="s">
        <v>279</v>
      </c>
      <c r="C63" s="26" t="str">
        <f aca="false">INDEX(02_Massnahmenkatalog!$C:$C,MATCH($B63,02_Massnahmenkatalog!$B:$B,0))</f>
        <v>Anlagentechnik</v>
      </c>
      <c r="D63" s="27" t="str">
        <f aca="false">INDEX(02_Massnahmenkatalog!$D:$D,MATCH($B63,02_Massnahmenkatalog!$B:$B,0))</f>
        <v>Luft-Wasser-Wärmepumpe Gesamtsystem inkl. Demontage Altanlage</v>
      </c>
      <c r="E63" s="26" t="str">
        <f aca="false">INDEX(02_Massnahmenkatalog!$E:$E,MATCH($B63,02_Massnahmenkatalog!$B:$B,0))</f>
        <v>€ pauschal (skaliert)</v>
      </c>
      <c r="F63" s="18" t="n">
        <f aca="false">Obj_Wohnflaeche/130</f>
        <v>1</v>
      </c>
      <c r="G63" s="15"/>
      <c r="H63" s="18" t="n">
        <f aca="false">IF($G63="",$F63,$G63)</f>
        <v>1</v>
      </c>
      <c r="I63" s="28" t="n">
        <f aca="false">INDEX(02_Massnahmenkatalog!$F:$F,MATCH($B63,02_Massnahmenkatalog!$B:$B,0))</f>
        <v>22500</v>
      </c>
      <c r="J63" s="20" t="n">
        <f aca="false">$H63*$I63</f>
        <v>22500</v>
      </c>
      <c r="K63" s="26" t="str">
        <f aca="false">INDEX(02_Massnahmenkatalog!$H:$H,MATCH($B63,02_Massnahmenkatalog!$B:$B,0))</f>
        <v>Ja</v>
      </c>
      <c r="L63" s="15"/>
      <c r="M63" s="15" t="n">
        <v>3</v>
      </c>
      <c r="N63" s="26" t="n">
        <f aca="false">INDEX(02_Massnahmenkatalog!$G:$G,MATCH($B63,02_Massnahmenkatalog!$B:$B,0))</f>
        <v>15</v>
      </c>
      <c r="O63" s="29" t="n">
        <f aca="false">INDEX(04_Nutzungsdauern!$C:$C,MATCH($M63,04_Nutzungsdauern!$B:$B,0))</f>
        <v>0.7</v>
      </c>
      <c r="P63" s="18" t="n">
        <f aca="false">$N63*$O63-(A_Jahr-IF($L63="",Obj_Baujahr,$L63))</f>
        <v>-37.5</v>
      </c>
      <c r="Q63" s="18" t="n">
        <f aca="false">A_Jahr+MAX(0,$P63)</f>
        <v>2026</v>
      </c>
      <c r="R63" s="15" t="s">
        <v>601</v>
      </c>
      <c r="S63" s="18" t="str">
        <f aca="false">IF($R63="Automatik",IF($Q63&lt;=A_Jahr+A_Horizont,"JA","NEIN"),IF(OR($R63="Sofort",$R63="In Horizont"),"JA","NEIN"))</f>
        <v>JA</v>
      </c>
      <c r="T63" s="16" t="n">
        <v>0</v>
      </c>
      <c r="U63" s="20" t="n">
        <f aca="false">IF(AND($K63="Ja",$S63="JA"),$J63*(1-$T63),0)</f>
        <v>22500</v>
      </c>
      <c r="V63" s="30" t="str">
        <f aca="false">IF(AND($S63="NEIN",OR(AND(Obj_Zielstandard="EH 55 EE",$X63="Ja"),AND(Obj_Zielstandard="EH 40 EE",$Y63="Ja"))),"Pflicht bei Zielstandard, aber nicht aufgenommen","")</f>
        <v/>
      </c>
      <c r="W63" s="15"/>
      <c r="X63" s="26" t="str">
        <f aca="false">INDEX(02_Massnahmenkatalog!$J:$J,MATCH($B63,02_Massnahmenkatalog!$B:$B,0))</f>
        <v>Ja</v>
      </c>
      <c r="Y63" s="26" t="str">
        <f aca="false">INDEX(02_Massnahmenkatalog!$K:$K,MATCH($B63,02_Massnahmenkatalog!$B:$B,0))</f>
        <v>Ja</v>
      </c>
    </row>
    <row r="64" customFormat="false" ht="57.45" hidden="false" customHeight="false" outlineLevel="0" collapsed="false">
      <c r="B64" s="18" t="s">
        <v>285</v>
      </c>
      <c r="C64" s="26" t="str">
        <f aca="false">INDEX(02_Massnahmenkatalog!$C:$C,MATCH($B64,02_Massnahmenkatalog!$B:$B,0))</f>
        <v>Anlagentechnik</v>
      </c>
      <c r="D64" s="27" t="str">
        <f aca="false">INDEX(02_Massnahmenkatalog!$D:$D,MATCH($B64,02_Massnahmenkatalog!$B:$B,0))</f>
        <v>Alternativ: Sole-Wasser-WP mit Erdsonde inkl. Bohrung</v>
      </c>
      <c r="E64" s="26" t="str">
        <f aca="false">INDEX(02_Massnahmenkatalog!$E:$E,MATCH($B64,02_Massnahmenkatalog!$B:$B,0))</f>
        <v>€ pauschal (skaliert)</v>
      </c>
      <c r="F64" s="18" t="n">
        <f aca="false">0</f>
        <v>0</v>
      </c>
      <c r="G64" s="15"/>
      <c r="H64" s="18" t="n">
        <f aca="false">IF($G64="",$F64,$G64)</f>
        <v>0</v>
      </c>
      <c r="I64" s="28" t="n">
        <f aca="false">INDEX(02_Massnahmenkatalog!$F:$F,MATCH($B64,02_Massnahmenkatalog!$B:$B,0))</f>
        <v>28500</v>
      </c>
      <c r="J64" s="20" t="n">
        <f aca="false">$H64*$I64</f>
        <v>0</v>
      </c>
      <c r="K64" s="26" t="str">
        <f aca="false">INDEX(02_Massnahmenkatalog!$H:$H,MATCH($B64,02_Massnahmenkatalog!$B:$B,0))</f>
        <v>Ja</v>
      </c>
      <c r="L64" s="15"/>
      <c r="M64" s="15" t="n">
        <v>3</v>
      </c>
      <c r="N64" s="26" t="n">
        <f aca="false">INDEX(02_Massnahmenkatalog!$G:$G,MATCH($B64,02_Massnahmenkatalog!$B:$B,0))</f>
        <v>27</v>
      </c>
      <c r="O64" s="29" t="n">
        <f aca="false">INDEX(04_Nutzungsdauern!$C:$C,MATCH($M64,04_Nutzungsdauern!$B:$B,0))</f>
        <v>0.7</v>
      </c>
      <c r="P64" s="18" t="n">
        <f aca="false">$N64*$O64-(A_Jahr-IF($L64="",Obj_Baujahr,$L64))</f>
        <v>-29.1</v>
      </c>
      <c r="Q64" s="18" t="n">
        <f aca="false">A_Jahr+MAX(0,$P64)</f>
        <v>2026</v>
      </c>
      <c r="R64" s="15" t="s">
        <v>601</v>
      </c>
      <c r="S64" s="18" t="str">
        <f aca="false">IF($R64="Automatik",IF($Q64&lt;=A_Jahr+A_Horizont,"JA","NEIN"),IF(OR($R64="Sofort",$R64="In Horizont"),"JA","NEIN"))</f>
        <v>JA</v>
      </c>
      <c r="T64" s="16" t="n">
        <v>0</v>
      </c>
      <c r="U64" s="20" t="n">
        <f aca="false">IF(AND($K64="Ja",$S64="JA"),$J64*(1-$T64),0)</f>
        <v>0</v>
      </c>
      <c r="V64" s="30" t="str">
        <f aca="false">IF(AND($S64="NEIN",OR(AND(Obj_Zielstandard="EH 55 EE",$X64="Ja"),AND(Obj_Zielstandard="EH 40 EE",$Y64="Ja"))),"Pflicht bei Zielstandard, aber nicht aufgenommen","")</f>
        <v/>
      </c>
      <c r="W64" s="15"/>
      <c r="X64" s="26" t="str">
        <f aca="false">INDEX(02_Massnahmenkatalog!$J:$J,MATCH($B64,02_Massnahmenkatalog!$B:$B,0))</f>
        <v>Nein</v>
      </c>
      <c r="Y64" s="26" t="str">
        <f aca="false">INDEX(02_Massnahmenkatalog!$K:$K,MATCH($B64,02_Massnahmenkatalog!$B:$B,0))</f>
        <v>Nein</v>
      </c>
    </row>
    <row r="65" customFormat="false" ht="68.65" hidden="false" customHeight="false" outlineLevel="0" collapsed="false">
      <c r="B65" s="18" t="s">
        <v>288</v>
      </c>
      <c r="C65" s="26" t="str">
        <f aca="false">INDEX(02_Massnahmenkatalog!$C:$C,MATCH($B65,02_Massnahmenkatalog!$B:$B,0))</f>
        <v>Anlagentechnik</v>
      </c>
      <c r="D65" s="27" t="str">
        <f aca="false">INDEX(02_Massnahmenkatalog!$D:$D,MATCH($B65,02_Massnahmenkatalog!$B:$B,0))</f>
        <v>Fußbodenheizung Nassestrich (Vollsanierung Bodenaufbau)</v>
      </c>
      <c r="E65" s="26" t="str">
        <f aca="false">INDEX(02_Massnahmenkatalog!$E:$E,MATCH($B65,02_Massnahmenkatalog!$B:$B,0))</f>
        <v>€/m²</v>
      </c>
      <c r="F65" s="18" t="n">
        <f aca="false">Obj_Wohnflaeche*A_F_FBH</f>
        <v>117</v>
      </c>
      <c r="G65" s="15"/>
      <c r="H65" s="18" t="n">
        <f aca="false">IF($G65="",$F65,$G65)</f>
        <v>117</v>
      </c>
      <c r="I65" s="28" t="n">
        <f aca="false">INDEX(02_Massnahmenkatalog!$F:$F,MATCH($B65,02_Massnahmenkatalog!$B:$B,0))</f>
        <v>65</v>
      </c>
      <c r="J65" s="20" t="n">
        <f aca="false">$H65*$I65</f>
        <v>7605</v>
      </c>
      <c r="K65" s="26" t="str">
        <f aca="false">INDEX(02_Massnahmenkatalog!$H:$H,MATCH($B65,02_Massnahmenkatalog!$B:$B,0))</f>
        <v>Ja</v>
      </c>
      <c r="L65" s="15"/>
      <c r="M65" s="15" t="n">
        <v>3</v>
      </c>
      <c r="N65" s="26" t="n">
        <f aca="false">INDEX(02_Massnahmenkatalog!$G:$G,MATCH($B65,02_Massnahmenkatalog!$B:$B,0))</f>
        <v>45</v>
      </c>
      <c r="O65" s="29" t="n">
        <f aca="false">INDEX(04_Nutzungsdauern!$C:$C,MATCH($M65,04_Nutzungsdauern!$B:$B,0))</f>
        <v>0.7</v>
      </c>
      <c r="P65" s="18" t="n">
        <f aca="false">$N65*$O65-(A_Jahr-IF($L65="",Obj_Baujahr,$L65))</f>
        <v>-16.5</v>
      </c>
      <c r="Q65" s="18" t="n">
        <f aca="false">A_Jahr+MAX(0,$P65)</f>
        <v>2026</v>
      </c>
      <c r="R65" s="15" t="s">
        <v>601</v>
      </c>
      <c r="S65" s="18" t="str">
        <f aca="false">IF($R65="Automatik",IF($Q65&lt;=A_Jahr+A_Horizont,"JA","NEIN"),IF(OR($R65="Sofort",$R65="In Horizont"),"JA","NEIN"))</f>
        <v>JA</v>
      </c>
      <c r="T65" s="16" t="n">
        <v>0</v>
      </c>
      <c r="U65" s="20" t="n">
        <f aca="false">IF(AND($K65="Ja",$S65="JA"),$J65*(1-$T65),0)</f>
        <v>7605</v>
      </c>
      <c r="V65" s="30" t="str">
        <f aca="false">IF(AND($S65="NEIN",OR(AND(Obj_Zielstandard="EH 55 EE",$X65="Ja"),AND(Obj_Zielstandard="EH 40 EE",$Y65="Ja"))),"Pflicht bei Zielstandard, aber nicht aufgenommen","")</f>
        <v/>
      </c>
      <c r="W65" s="15"/>
      <c r="X65" s="26" t="str">
        <f aca="false">INDEX(02_Massnahmenkatalog!$J:$J,MATCH($B65,02_Massnahmenkatalog!$B:$B,0))</f>
        <v>Ja</v>
      </c>
      <c r="Y65" s="26" t="str">
        <f aca="false">INDEX(02_Massnahmenkatalog!$K:$K,MATCH($B65,02_Massnahmenkatalog!$B:$B,0))</f>
        <v>Ja</v>
      </c>
    </row>
    <row r="66" customFormat="false" ht="68.65" hidden="false" customHeight="false" outlineLevel="0" collapsed="false">
      <c r="B66" s="18" t="s">
        <v>290</v>
      </c>
      <c r="C66" s="26" t="str">
        <f aca="false">INDEX(02_Massnahmenkatalog!$C:$C,MATCH($B66,02_Massnahmenkatalog!$B:$B,0))</f>
        <v>Anlagentechnik</v>
      </c>
      <c r="D66" s="27" t="str">
        <f aca="false">INDEX(02_Massnahmenkatalog!$D:$D,MATCH($B66,02_Massnahmenkatalog!$B:$B,0))</f>
        <v>Austausch Heizkörper gegen NT-Heizkörper (wenn keine FBH)</v>
      </c>
      <c r="E66" s="26" t="str">
        <f aca="false">INDEX(02_Massnahmenkatalog!$E:$E,MATCH($B66,02_Massnahmenkatalog!$B:$B,0))</f>
        <v>€/Stück</v>
      </c>
      <c r="F66" s="18" t="n">
        <f aca="false">Obj_AnzHeizkoerper</f>
        <v>9</v>
      </c>
      <c r="G66" s="15"/>
      <c r="H66" s="18" t="n">
        <f aca="false">IF($G66="",$F66,$G66)</f>
        <v>9</v>
      </c>
      <c r="I66" s="28" t="n">
        <f aca="false">INDEX(02_Massnahmenkatalog!$F:$F,MATCH($B66,02_Massnahmenkatalog!$B:$B,0))</f>
        <v>830</v>
      </c>
      <c r="J66" s="20" t="n">
        <f aca="false">$H66*$I66</f>
        <v>7470</v>
      </c>
      <c r="K66" s="26" t="str">
        <f aca="false">INDEX(02_Massnahmenkatalog!$H:$H,MATCH($B66,02_Massnahmenkatalog!$B:$B,0))</f>
        <v>Ja</v>
      </c>
      <c r="L66" s="15"/>
      <c r="M66" s="15" t="n">
        <v>3</v>
      </c>
      <c r="N66" s="26" t="n">
        <f aca="false">INDEX(02_Massnahmenkatalog!$G:$G,MATCH($B66,02_Massnahmenkatalog!$B:$B,0))</f>
        <v>35</v>
      </c>
      <c r="O66" s="29" t="n">
        <f aca="false">INDEX(04_Nutzungsdauern!$C:$C,MATCH($M66,04_Nutzungsdauern!$B:$B,0))</f>
        <v>0.7</v>
      </c>
      <c r="P66" s="18" t="n">
        <f aca="false">$N66*$O66-(A_Jahr-IF($L66="",Obj_Baujahr,$L66))</f>
        <v>-23.5</v>
      </c>
      <c r="Q66" s="18" t="n">
        <f aca="false">A_Jahr+MAX(0,$P66)</f>
        <v>2026</v>
      </c>
      <c r="R66" s="15" t="s">
        <v>601</v>
      </c>
      <c r="S66" s="18" t="str">
        <f aca="false">IF($R66="Automatik",IF($Q66&lt;=A_Jahr+A_Horizont,"JA","NEIN"),IF(OR($R66="Sofort",$R66="In Horizont"),"JA","NEIN"))</f>
        <v>JA</v>
      </c>
      <c r="T66" s="16" t="n">
        <v>0</v>
      </c>
      <c r="U66" s="20" t="n">
        <f aca="false">IF(AND($K66="Ja",$S66="JA"),$J66*(1-$T66),0)</f>
        <v>7470</v>
      </c>
      <c r="V66" s="30" t="str">
        <f aca="false">IF(AND($S66="NEIN",OR(AND(Obj_Zielstandard="EH 55 EE",$X66="Ja"),AND(Obj_Zielstandard="EH 40 EE",$Y66="Ja"))),"Pflicht bei Zielstandard, aber nicht aufgenommen","")</f>
        <v/>
      </c>
      <c r="W66" s="15"/>
      <c r="X66" s="26" t="str">
        <f aca="false">INDEX(02_Massnahmenkatalog!$J:$J,MATCH($B66,02_Massnahmenkatalog!$B:$B,0))</f>
        <v>Nein</v>
      </c>
      <c r="Y66" s="26" t="str">
        <f aca="false">INDEX(02_Massnahmenkatalog!$K:$K,MATCH($B66,02_Massnahmenkatalog!$B:$B,0))</f>
        <v>Nein</v>
      </c>
    </row>
    <row r="67" customFormat="false" ht="46.25" hidden="false" customHeight="false" outlineLevel="0" collapsed="false">
      <c r="B67" s="18" t="s">
        <v>293</v>
      </c>
      <c r="C67" s="26" t="str">
        <f aca="false">INDEX(02_Massnahmenkatalog!$C:$C,MATCH($B67,02_Massnahmenkatalog!$B:$B,0))</f>
        <v>Anlagentechnik</v>
      </c>
      <c r="D67" s="27" t="str">
        <f aca="false">INDEX(02_Massnahmenkatalog!$D:$D,MATCH($B67,02_Massnahmenkatalog!$B:$B,0))</f>
        <v>Hydraulischer Abgleich + Heizlastberechnung</v>
      </c>
      <c r="E67" s="26" t="str">
        <f aca="false">INDEX(02_Massnahmenkatalog!$E:$E,MATCH($B67,02_Massnahmenkatalog!$B:$B,0))</f>
        <v>€ pauschal</v>
      </c>
      <c r="F67" s="18" t="n">
        <f aca="false">1</f>
        <v>1</v>
      </c>
      <c r="G67" s="15"/>
      <c r="H67" s="18" t="n">
        <f aca="false">IF($G67="",$F67,$G67)</f>
        <v>1</v>
      </c>
      <c r="I67" s="28" t="n">
        <f aca="false">INDEX(02_Massnahmenkatalog!$F:$F,MATCH($B67,02_Massnahmenkatalog!$B:$B,0))</f>
        <v>1125</v>
      </c>
      <c r="J67" s="20" t="n">
        <f aca="false">$H67*$I67</f>
        <v>1125</v>
      </c>
      <c r="K67" s="26" t="str">
        <f aca="false">INDEX(02_Massnahmenkatalog!$H:$H,MATCH($B67,02_Massnahmenkatalog!$B:$B,0))</f>
        <v>Ja</v>
      </c>
      <c r="L67" s="15"/>
      <c r="M67" s="15" t="n">
        <v>3</v>
      </c>
      <c r="N67" s="26" t="n">
        <f aca="false">INDEX(02_Massnahmenkatalog!$G:$G,MATCH($B67,02_Massnahmenkatalog!$B:$B,0))</f>
        <v>0</v>
      </c>
      <c r="O67" s="29" t="n">
        <f aca="false">INDEX(04_Nutzungsdauern!$C:$C,MATCH($M67,04_Nutzungsdauern!$B:$B,0))</f>
        <v>0.7</v>
      </c>
      <c r="P67" s="18" t="n">
        <f aca="false">$N67*$O67-(A_Jahr-IF($L67="",Obj_Baujahr,$L67))</f>
        <v>-48</v>
      </c>
      <c r="Q67" s="18" t="n">
        <f aca="false">A_Jahr+MAX(0,$P67)</f>
        <v>2026</v>
      </c>
      <c r="R67" s="15" t="s">
        <v>601</v>
      </c>
      <c r="S67" s="18" t="str">
        <f aca="false">IF($R67="Automatik",IF($Q67&lt;=A_Jahr+A_Horizont,"JA","NEIN"),IF(OR($R67="Sofort",$R67="In Horizont"),"JA","NEIN"))</f>
        <v>JA</v>
      </c>
      <c r="T67" s="16" t="n">
        <v>0</v>
      </c>
      <c r="U67" s="20" t="n">
        <f aca="false">IF(AND($K67="Ja",$S67="JA"),$J67*(1-$T67),0)</f>
        <v>1125</v>
      </c>
      <c r="V67" s="30" t="str">
        <f aca="false">IF(AND($S67="NEIN",OR(AND(Obj_Zielstandard="EH 55 EE",$X67="Ja"),AND(Obj_Zielstandard="EH 40 EE",$Y67="Ja"))),"Pflicht bei Zielstandard, aber nicht aufgenommen","")</f>
        <v/>
      </c>
      <c r="W67" s="15"/>
      <c r="X67" s="26" t="str">
        <f aca="false">INDEX(02_Massnahmenkatalog!$J:$J,MATCH($B67,02_Massnahmenkatalog!$B:$B,0))</f>
        <v>Ja</v>
      </c>
      <c r="Y67" s="26" t="str">
        <f aca="false">INDEX(02_Massnahmenkatalog!$K:$K,MATCH($B67,02_Massnahmenkatalog!$B:$B,0))</f>
        <v>Ja</v>
      </c>
    </row>
    <row r="68" customFormat="false" ht="57.45" hidden="false" customHeight="false" outlineLevel="0" collapsed="false">
      <c r="B68" s="18" t="s">
        <v>297</v>
      </c>
      <c r="C68" s="26" t="str">
        <f aca="false">INDEX(02_Massnahmenkatalog!$C:$C,MATCH($B68,02_Massnahmenkatalog!$B:$B,0))</f>
        <v>Anlagentechnik</v>
      </c>
      <c r="D68" s="27" t="str">
        <f aca="false">INDEX(02_Massnahmenkatalog!$D:$D,MATCH($B68,02_Massnahmenkatalog!$B:$B,0))</f>
        <v>Zentrale Lüftungsanlage mit WRG inkl. Kanalnetz</v>
      </c>
      <c r="E68" s="26" t="str">
        <f aca="false">INDEX(02_Massnahmenkatalog!$E:$E,MATCH($B68,02_Massnahmenkatalog!$B:$B,0))</f>
        <v>€/m² WF</v>
      </c>
      <c r="F68" s="18" t="n">
        <f aca="false">Obj_Wohnflaeche</f>
        <v>130</v>
      </c>
      <c r="G68" s="15"/>
      <c r="H68" s="18" t="n">
        <f aca="false">IF($G68="",$F68,$G68)</f>
        <v>130</v>
      </c>
      <c r="I68" s="28" t="n">
        <f aca="false">INDEX(02_Massnahmenkatalog!$F:$F,MATCH($B68,02_Massnahmenkatalog!$B:$B,0))</f>
        <v>111</v>
      </c>
      <c r="J68" s="20" t="n">
        <f aca="false">$H68*$I68</f>
        <v>14430</v>
      </c>
      <c r="K68" s="26" t="str">
        <f aca="false">INDEX(02_Massnahmenkatalog!$H:$H,MATCH($B68,02_Massnahmenkatalog!$B:$B,0))</f>
        <v>Ja</v>
      </c>
      <c r="L68" s="15"/>
      <c r="M68" s="15" t="n">
        <v>3</v>
      </c>
      <c r="N68" s="26" t="n">
        <f aca="false">INDEX(02_Massnahmenkatalog!$G:$G,MATCH($B68,02_Massnahmenkatalog!$B:$B,0))</f>
        <v>25</v>
      </c>
      <c r="O68" s="29" t="n">
        <f aca="false">INDEX(04_Nutzungsdauern!$C:$C,MATCH($M68,04_Nutzungsdauern!$B:$B,0))</f>
        <v>0.7</v>
      </c>
      <c r="P68" s="18" t="n">
        <f aca="false">$N68*$O68-(A_Jahr-IF($L68="",Obj_Baujahr,$L68))</f>
        <v>-30.5</v>
      </c>
      <c r="Q68" s="18" t="n">
        <f aca="false">A_Jahr+MAX(0,$P68)</f>
        <v>2026</v>
      </c>
      <c r="R68" s="15" t="s">
        <v>601</v>
      </c>
      <c r="S68" s="18" t="str">
        <f aca="false">IF($R68="Automatik",IF($Q68&lt;=A_Jahr+A_Horizont,"JA","NEIN"),IF(OR($R68="Sofort",$R68="In Horizont"),"JA","NEIN"))</f>
        <v>JA</v>
      </c>
      <c r="T68" s="16" t="n">
        <v>0</v>
      </c>
      <c r="U68" s="20" t="n">
        <f aca="false">IF(AND($K68="Ja",$S68="JA"),$J68*(1-$T68),0)</f>
        <v>14430</v>
      </c>
      <c r="V68" s="30" t="str">
        <f aca="false">IF(AND($S68="NEIN",OR(AND(Obj_Zielstandard="EH 55 EE",$X68="Ja"),AND(Obj_Zielstandard="EH 40 EE",$Y68="Ja"))),"Pflicht bei Zielstandard, aber nicht aufgenommen","")</f>
        <v/>
      </c>
      <c r="W68" s="15"/>
      <c r="X68" s="26" t="str">
        <f aca="false">INDEX(02_Massnahmenkatalog!$J:$J,MATCH($B68,02_Massnahmenkatalog!$B:$B,0))</f>
        <v>Ja</v>
      </c>
      <c r="Y68" s="26" t="str">
        <f aca="false">INDEX(02_Massnahmenkatalog!$K:$K,MATCH($B68,02_Massnahmenkatalog!$B:$B,0))</f>
        <v>Ja</v>
      </c>
    </row>
    <row r="69" customFormat="false" ht="35.05" hidden="false" customHeight="false" outlineLevel="0" collapsed="false">
      <c r="B69" s="18" t="s">
        <v>300</v>
      </c>
      <c r="C69" s="26" t="str">
        <f aca="false">INDEX(02_Massnahmenkatalog!$C:$C,MATCH($B69,02_Massnahmenkatalog!$B:$B,0))</f>
        <v>Anlagentechnik</v>
      </c>
      <c r="D69" s="27" t="str">
        <f aca="false">INDEX(02_Massnahmenkatalog!$D:$D,MATCH($B69,02_Massnahmenkatalog!$B:$B,0))</f>
        <v>Trinkwasserinstallation komplett neu</v>
      </c>
      <c r="E69" s="26" t="str">
        <f aca="false">INDEX(02_Massnahmenkatalog!$E:$E,MATCH($B69,02_Massnahmenkatalog!$B:$B,0))</f>
        <v>€ pauschal</v>
      </c>
      <c r="F69" s="18" t="n">
        <f aca="false">1</f>
        <v>1</v>
      </c>
      <c r="G69" s="15"/>
      <c r="H69" s="18" t="n">
        <f aca="false">IF($G69="",$F69,$G69)</f>
        <v>1</v>
      </c>
      <c r="I69" s="28" t="n">
        <f aca="false">INDEX(02_Massnahmenkatalog!$F:$F,MATCH($B69,02_Massnahmenkatalog!$B:$B,0))</f>
        <v>3500</v>
      </c>
      <c r="J69" s="20" t="n">
        <f aca="false">$H69*$I69</f>
        <v>3500</v>
      </c>
      <c r="K69" s="26" t="str">
        <f aca="false">INDEX(02_Massnahmenkatalog!$H:$H,MATCH($B69,02_Massnahmenkatalog!$B:$B,0))</f>
        <v>Nein</v>
      </c>
      <c r="L69" s="15"/>
      <c r="M69" s="15" t="n">
        <v>3</v>
      </c>
      <c r="N69" s="26" t="n">
        <f aca="false">INDEX(02_Massnahmenkatalog!$G:$G,MATCH($B69,02_Massnahmenkatalog!$B:$B,0))</f>
        <v>39</v>
      </c>
      <c r="O69" s="29" t="n">
        <f aca="false">INDEX(04_Nutzungsdauern!$C:$C,MATCH($M69,04_Nutzungsdauern!$B:$B,0))</f>
        <v>0.7</v>
      </c>
      <c r="P69" s="18" t="n">
        <f aca="false">$N69*$O69-(A_Jahr-IF($L69="",Obj_Baujahr,$L69))</f>
        <v>-20.7</v>
      </c>
      <c r="Q69" s="18" t="n">
        <f aca="false">A_Jahr+MAX(0,$P69)</f>
        <v>2026</v>
      </c>
      <c r="R69" s="15" t="s">
        <v>601</v>
      </c>
      <c r="S69" s="18" t="str">
        <f aca="false">IF($R69="Automatik",IF($Q69&lt;=A_Jahr+A_Horizont,"JA","NEIN"),IF(OR($R69="Sofort",$R69="In Horizont"),"JA","NEIN"))</f>
        <v>JA</v>
      </c>
      <c r="T69" s="16" t="n">
        <v>0</v>
      </c>
      <c r="U69" s="20" t="n">
        <f aca="false">IF(AND($K69="Ja",$S69="JA"),$J69*(1-$T69),0)</f>
        <v>0</v>
      </c>
      <c r="V69" s="30" t="str">
        <f aca="false">IF(AND($S69="NEIN",OR(AND(Obj_Zielstandard="EH 55 EE",$X69="Ja"),AND(Obj_Zielstandard="EH 40 EE",$Y69="Ja"))),"Pflicht bei Zielstandard, aber nicht aufgenommen","")</f>
        <v/>
      </c>
      <c r="W69" s="15"/>
      <c r="X69" s="26" t="str">
        <f aca="false">INDEX(02_Massnahmenkatalog!$J:$J,MATCH($B69,02_Massnahmenkatalog!$B:$B,0))</f>
        <v>Nein</v>
      </c>
      <c r="Y69" s="26" t="str">
        <f aca="false">INDEX(02_Massnahmenkatalog!$K:$K,MATCH($B69,02_Massnahmenkatalog!$B:$B,0))</f>
        <v>Nein</v>
      </c>
    </row>
    <row r="70" customFormat="false" ht="35.05" hidden="false" customHeight="false" outlineLevel="0" collapsed="false">
      <c r="B70" s="18" t="s">
        <v>303</v>
      </c>
      <c r="C70" s="26" t="str">
        <f aca="false">INDEX(02_Massnahmenkatalog!$C:$C,MATCH($B70,02_Massnahmenkatalog!$B:$B,0))</f>
        <v>Anlagentechnik</v>
      </c>
      <c r="D70" s="27" t="str">
        <f aca="false">INDEX(02_Massnahmenkatalog!$D:$D,MATCH($B70,02_Massnahmenkatalog!$B:$B,0))</f>
        <v>Abwasserleitungen im Haus erneuern</v>
      </c>
      <c r="E70" s="26" t="str">
        <f aca="false">INDEX(02_Massnahmenkatalog!$E:$E,MATCH($B70,02_Massnahmenkatalog!$B:$B,0))</f>
        <v>€ pauschal</v>
      </c>
      <c r="F70" s="18" t="n">
        <f aca="false">1</f>
        <v>1</v>
      </c>
      <c r="G70" s="15"/>
      <c r="H70" s="18" t="n">
        <f aca="false">IF($G70="",$F70,$G70)</f>
        <v>1</v>
      </c>
      <c r="I70" s="28" t="n">
        <f aca="false">INDEX(02_Massnahmenkatalog!$F:$F,MATCH($B70,02_Massnahmenkatalog!$B:$B,0))</f>
        <v>2700</v>
      </c>
      <c r="J70" s="20" t="n">
        <f aca="false">$H70*$I70</f>
        <v>2700</v>
      </c>
      <c r="K70" s="26" t="str">
        <f aca="false">INDEX(02_Massnahmenkatalog!$H:$H,MATCH($B70,02_Massnahmenkatalog!$B:$B,0))</f>
        <v>Nein</v>
      </c>
      <c r="L70" s="15"/>
      <c r="M70" s="15" t="n">
        <v>3</v>
      </c>
      <c r="N70" s="26" t="n">
        <f aca="false">INDEX(02_Massnahmenkatalog!$G:$G,MATCH($B70,02_Massnahmenkatalog!$B:$B,0))</f>
        <v>40</v>
      </c>
      <c r="O70" s="29" t="n">
        <f aca="false">INDEX(04_Nutzungsdauern!$C:$C,MATCH($M70,04_Nutzungsdauern!$B:$B,0))</f>
        <v>0.7</v>
      </c>
      <c r="P70" s="18" t="n">
        <f aca="false">$N70*$O70-(A_Jahr-IF($L70="",Obj_Baujahr,$L70))</f>
        <v>-20</v>
      </c>
      <c r="Q70" s="18" t="n">
        <f aca="false">A_Jahr+MAX(0,$P70)</f>
        <v>2026</v>
      </c>
      <c r="R70" s="15" t="s">
        <v>601</v>
      </c>
      <c r="S70" s="18" t="str">
        <f aca="false">IF($R70="Automatik",IF($Q70&lt;=A_Jahr+A_Horizont,"JA","NEIN"),IF(OR($R70="Sofort",$R70="In Horizont"),"JA","NEIN"))</f>
        <v>JA</v>
      </c>
      <c r="T70" s="16" t="n">
        <v>0</v>
      </c>
      <c r="U70" s="20" t="n">
        <f aca="false">IF(AND($K70="Ja",$S70="JA"),$J70*(1-$T70),0)</f>
        <v>0</v>
      </c>
      <c r="V70" s="30" t="str">
        <f aca="false">IF(AND($S70="NEIN",OR(AND(Obj_Zielstandard="EH 55 EE",$X70="Ja"),AND(Obj_Zielstandard="EH 40 EE",$Y70="Ja"))),"Pflicht bei Zielstandard, aber nicht aufgenommen","")</f>
        <v/>
      </c>
      <c r="W70" s="15"/>
      <c r="X70" s="26" t="str">
        <f aca="false">INDEX(02_Massnahmenkatalog!$J:$J,MATCH($B70,02_Massnahmenkatalog!$B:$B,0))</f>
        <v>Nein</v>
      </c>
      <c r="Y70" s="26" t="str">
        <f aca="false">INDEX(02_Massnahmenkatalog!$K:$K,MATCH($B70,02_Massnahmenkatalog!$B:$B,0))</f>
        <v>Nein</v>
      </c>
    </row>
    <row r="71" customFormat="false" ht="46.25" hidden="false" customHeight="false" outlineLevel="0" collapsed="false">
      <c r="B71" s="18" t="s">
        <v>306</v>
      </c>
      <c r="C71" s="26" t="str">
        <f aca="false">INDEX(02_Massnahmenkatalog!$C:$C,MATCH($B71,02_Massnahmenkatalog!$B:$B,0))</f>
        <v>Elektro/Innenausbau</v>
      </c>
      <c r="D71" s="27" t="str">
        <f aca="false">INDEX(02_Massnahmenkatalog!$D:$D,MATCH($B71,02_Massnahmenkatalog!$B:$B,0))</f>
        <v>Elektroinstallation komplett neu inkl. Zählerschrank</v>
      </c>
      <c r="E71" s="26" t="str">
        <f aca="false">INDEX(02_Massnahmenkatalog!$E:$E,MATCH($B71,02_Massnahmenkatalog!$B:$B,0))</f>
        <v>€/m² WF</v>
      </c>
      <c r="F71" s="18" t="n">
        <f aca="false">Obj_Wohnflaeche</f>
        <v>130</v>
      </c>
      <c r="G71" s="15"/>
      <c r="H71" s="18" t="n">
        <f aca="false">IF($G71="",$F71,$G71)</f>
        <v>130</v>
      </c>
      <c r="I71" s="28" t="n">
        <f aca="false">INDEX(02_Massnahmenkatalog!$F:$F,MATCH($B71,02_Massnahmenkatalog!$B:$B,0))</f>
        <v>105</v>
      </c>
      <c r="J71" s="20" t="n">
        <f aca="false">$H71*$I71</f>
        <v>13650</v>
      </c>
      <c r="K71" s="26" t="str">
        <f aca="false">INDEX(02_Massnahmenkatalog!$H:$H,MATCH($B71,02_Massnahmenkatalog!$B:$B,0))</f>
        <v>Nein</v>
      </c>
      <c r="L71" s="15"/>
      <c r="M71" s="15" t="n">
        <v>3</v>
      </c>
      <c r="N71" s="26" t="n">
        <f aca="false">INDEX(02_Massnahmenkatalog!$G:$G,MATCH($B71,02_Massnahmenkatalog!$B:$B,0))</f>
        <v>40</v>
      </c>
      <c r="O71" s="29" t="n">
        <f aca="false">INDEX(04_Nutzungsdauern!$C:$C,MATCH($M71,04_Nutzungsdauern!$B:$B,0))</f>
        <v>0.7</v>
      </c>
      <c r="P71" s="18" t="n">
        <f aca="false">$N71*$O71-(A_Jahr-IF($L71="",Obj_Baujahr,$L71))</f>
        <v>-20</v>
      </c>
      <c r="Q71" s="18" t="n">
        <f aca="false">A_Jahr+MAX(0,$P71)</f>
        <v>2026</v>
      </c>
      <c r="R71" s="15" t="s">
        <v>601</v>
      </c>
      <c r="S71" s="18" t="str">
        <f aca="false">IF($R71="Automatik",IF($Q71&lt;=A_Jahr+A_Horizont,"JA","NEIN"),IF(OR($R71="Sofort",$R71="In Horizont"),"JA","NEIN"))</f>
        <v>JA</v>
      </c>
      <c r="T71" s="16" t="n">
        <v>0</v>
      </c>
      <c r="U71" s="20" t="n">
        <f aca="false">IF(AND($K71="Ja",$S71="JA"),$J71*(1-$T71),0)</f>
        <v>0</v>
      </c>
      <c r="V71" s="30" t="str">
        <f aca="false">IF(AND($S71="NEIN",OR(AND(Obj_Zielstandard="EH 55 EE",$X71="Ja"),AND(Obj_Zielstandard="EH 40 EE",$Y71="Ja"))),"Pflicht bei Zielstandard, aber nicht aufgenommen","")</f>
        <v/>
      </c>
      <c r="W71" s="15"/>
      <c r="X71" s="26" t="str">
        <f aca="false">INDEX(02_Massnahmenkatalog!$J:$J,MATCH($B71,02_Massnahmenkatalog!$B:$B,0))</f>
        <v>Nein</v>
      </c>
      <c r="Y71" s="26" t="str">
        <f aca="false">INDEX(02_Massnahmenkatalog!$K:$K,MATCH($B71,02_Massnahmenkatalog!$B:$B,0))</f>
        <v>Nein</v>
      </c>
    </row>
    <row r="72" customFormat="false" ht="46.25" hidden="false" customHeight="false" outlineLevel="0" collapsed="false">
      <c r="B72" s="18" t="s">
        <v>309</v>
      </c>
      <c r="C72" s="26" t="str">
        <f aca="false">INDEX(02_Massnahmenkatalog!$C:$C,MATCH($B72,02_Massnahmenkatalog!$B:$B,0))</f>
        <v>Elektro/Innenausbau</v>
      </c>
      <c r="D72" s="27" t="str">
        <f aca="false">INDEX(02_Massnahmenkatalog!$D:$D,MATCH($B72,02_Massnahmenkatalog!$B:$B,0))</f>
        <v>Nur Zählerschrank/Unterverteilung erneuern</v>
      </c>
      <c r="E72" s="26" t="str">
        <f aca="false">INDEX(02_Massnahmenkatalog!$E:$E,MATCH($B72,02_Massnahmenkatalog!$B:$B,0))</f>
        <v>€ pauschal</v>
      </c>
      <c r="F72" s="18" t="n">
        <f aca="false">1</f>
        <v>1</v>
      </c>
      <c r="G72" s="15"/>
      <c r="H72" s="18" t="n">
        <f aca="false">IF($G72="",$F72,$G72)</f>
        <v>1</v>
      </c>
      <c r="I72" s="28" t="n">
        <f aca="false">INDEX(02_Massnahmenkatalog!$F:$F,MATCH($B72,02_Massnahmenkatalog!$B:$B,0))</f>
        <v>900</v>
      </c>
      <c r="J72" s="20" t="n">
        <f aca="false">$H72*$I72</f>
        <v>900</v>
      </c>
      <c r="K72" s="26" t="str">
        <f aca="false">INDEX(02_Massnahmenkatalog!$H:$H,MATCH($B72,02_Massnahmenkatalog!$B:$B,0))</f>
        <v>Nein</v>
      </c>
      <c r="L72" s="15"/>
      <c r="M72" s="15" t="n">
        <v>3</v>
      </c>
      <c r="N72" s="26" t="n">
        <f aca="false">INDEX(02_Massnahmenkatalog!$G:$G,MATCH($B72,02_Massnahmenkatalog!$B:$B,0))</f>
        <v>40</v>
      </c>
      <c r="O72" s="29" t="n">
        <f aca="false">INDEX(04_Nutzungsdauern!$C:$C,MATCH($M72,04_Nutzungsdauern!$B:$B,0))</f>
        <v>0.7</v>
      </c>
      <c r="P72" s="18" t="n">
        <f aca="false">$N72*$O72-(A_Jahr-IF($L72="",Obj_Baujahr,$L72))</f>
        <v>-20</v>
      </c>
      <c r="Q72" s="18" t="n">
        <f aca="false">A_Jahr+MAX(0,$P72)</f>
        <v>2026</v>
      </c>
      <c r="R72" s="15" t="s">
        <v>601</v>
      </c>
      <c r="S72" s="18" t="str">
        <f aca="false">IF($R72="Automatik",IF($Q72&lt;=A_Jahr+A_Horizont,"JA","NEIN"),IF(OR($R72="Sofort",$R72="In Horizont"),"JA","NEIN"))</f>
        <v>JA</v>
      </c>
      <c r="T72" s="16" t="n">
        <v>0</v>
      </c>
      <c r="U72" s="20" t="n">
        <f aca="false">IF(AND($K72="Ja",$S72="JA"),$J72*(1-$T72),0)</f>
        <v>0</v>
      </c>
      <c r="V72" s="30" t="str">
        <f aca="false">IF(AND($S72="NEIN",OR(AND(Obj_Zielstandard="EH 55 EE",$X72="Ja"),AND(Obj_Zielstandard="EH 40 EE",$Y72="Ja"))),"Pflicht bei Zielstandard, aber nicht aufgenommen","")</f>
        <v/>
      </c>
      <c r="W72" s="15"/>
      <c r="X72" s="26" t="str">
        <f aca="false">INDEX(02_Massnahmenkatalog!$J:$J,MATCH($B72,02_Massnahmenkatalog!$B:$B,0))</f>
        <v>Nein</v>
      </c>
      <c r="Y72" s="26" t="str">
        <f aca="false">INDEX(02_Massnahmenkatalog!$K:$K,MATCH($B72,02_Massnahmenkatalog!$B:$B,0))</f>
        <v>Nein</v>
      </c>
    </row>
    <row r="73" customFormat="false" ht="35.05" hidden="false" customHeight="false" outlineLevel="0" collapsed="false">
      <c r="B73" s="18" t="s">
        <v>312</v>
      </c>
      <c r="C73" s="26" t="str">
        <f aca="false">INDEX(02_Massnahmenkatalog!$C:$C,MATCH($B73,02_Massnahmenkatalog!$B:$B,0))</f>
        <v>Elektro/Innenausbau</v>
      </c>
      <c r="D73" s="27" t="str">
        <f aca="false">INDEX(02_Massnahmenkatalog!$D:$D,MATCH($B73,02_Massnahmenkatalog!$B:$B,0))</f>
        <v>Badsanierung komplett, Standard</v>
      </c>
      <c r="E73" s="26" t="str">
        <f aca="false">INDEX(02_Massnahmenkatalog!$E:$E,MATCH($B73,02_Massnahmenkatalog!$B:$B,0))</f>
        <v>€/Bad</v>
      </c>
      <c r="F73" s="18" t="n">
        <f aca="false">Obj_AnzBaeder</f>
        <v>2</v>
      </c>
      <c r="G73" s="15"/>
      <c r="H73" s="18" t="n">
        <f aca="false">IF($G73="",$F73,$G73)</f>
        <v>2</v>
      </c>
      <c r="I73" s="28" t="n">
        <f aca="false">INDEX(02_Massnahmenkatalog!$F:$F,MATCH($B73,02_Massnahmenkatalog!$B:$B,0))</f>
        <v>15000</v>
      </c>
      <c r="J73" s="20" t="n">
        <f aca="false">$H73*$I73</f>
        <v>30000</v>
      </c>
      <c r="K73" s="26" t="str">
        <f aca="false">INDEX(02_Massnahmenkatalog!$H:$H,MATCH($B73,02_Massnahmenkatalog!$B:$B,0))</f>
        <v>Nein</v>
      </c>
      <c r="L73" s="15"/>
      <c r="M73" s="15" t="n">
        <v>3</v>
      </c>
      <c r="N73" s="26" t="n">
        <f aca="false">INDEX(02_Massnahmenkatalog!$G:$G,MATCH($B73,02_Massnahmenkatalog!$B:$B,0))</f>
        <v>32</v>
      </c>
      <c r="O73" s="29" t="n">
        <f aca="false">INDEX(04_Nutzungsdauern!$C:$C,MATCH($M73,04_Nutzungsdauern!$B:$B,0))</f>
        <v>0.7</v>
      </c>
      <c r="P73" s="18" t="n">
        <f aca="false">$N73*$O73-(A_Jahr-IF($L73="",Obj_Baujahr,$L73))</f>
        <v>-25.6</v>
      </c>
      <c r="Q73" s="18" t="n">
        <f aca="false">A_Jahr+MAX(0,$P73)</f>
        <v>2026</v>
      </c>
      <c r="R73" s="15" t="s">
        <v>601</v>
      </c>
      <c r="S73" s="18" t="str">
        <f aca="false">IF($R73="Automatik",IF($Q73&lt;=A_Jahr+A_Horizont,"JA","NEIN"),IF(OR($R73="Sofort",$R73="In Horizont"),"JA","NEIN"))</f>
        <v>JA</v>
      </c>
      <c r="T73" s="16" t="n">
        <v>0</v>
      </c>
      <c r="U73" s="20" t="n">
        <f aca="false">IF(AND($K73="Ja",$S73="JA"),$J73*(1-$T73),0)</f>
        <v>0</v>
      </c>
      <c r="V73" s="30" t="str">
        <f aca="false">IF(AND($S73="NEIN",OR(AND(Obj_Zielstandard="EH 55 EE",$X73="Ja"),AND(Obj_Zielstandard="EH 40 EE",$Y73="Ja"))),"Pflicht bei Zielstandard, aber nicht aufgenommen","")</f>
        <v/>
      </c>
      <c r="W73" s="15"/>
      <c r="X73" s="26" t="str">
        <f aca="false">INDEX(02_Massnahmenkatalog!$J:$J,MATCH($B73,02_Massnahmenkatalog!$B:$B,0))</f>
        <v>Nein</v>
      </c>
      <c r="Y73" s="26" t="str">
        <f aca="false">INDEX(02_Massnahmenkatalog!$K:$K,MATCH($B73,02_Massnahmenkatalog!$B:$B,0))</f>
        <v>Nein</v>
      </c>
    </row>
    <row r="74" customFormat="false" ht="15" hidden="false" customHeight="false" outlineLevel="0" collapsed="false">
      <c r="B74" s="18" t="s">
        <v>316</v>
      </c>
      <c r="C74" s="26" t="str">
        <f aca="false">INDEX(02_Massnahmenkatalog!$C:$C,MATCH($B74,02_Massnahmenkatalog!$B:$B,0))</f>
        <v>Elektro/Innenausbau</v>
      </c>
      <c r="D74" s="27" t="str">
        <f aca="false">INDEX(02_Massnahmenkatalog!$D:$D,MATCH($B74,02_Massnahmenkatalog!$B:$B,0))</f>
        <v>Gäste-WC</v>
      </c>
      <c r="E74" s="26" t="str">
        <f aca="false">INDEX(02_Massnahmenkatalog!$E:$E,MATCH($B74,02_Massnahmenkatalog!$B:$B,0))</f>
        <v>€ pauschal</v>
      </c>
      <c r="F74" s="18" t="n">
        <f aca="false">1</f>
        <v>1</v>
      </c>
      <c r="G74" s="15"/>
      <c r="H74" s="18" t="n">
        <f aca="false">IF($G74="",$F74,$G74)</f>
        <v>1</v>
      </c>
      <c r="I74" s="28" t="n">
        <f aca="false">INDEX(02_Massnahmenkatalog!$F:$F,MATCH($B74,02_Massnahmenkatalog!$B:$B,0))</f>
        <v>6000</v>
      </c>
      <c r="J74" s="20" t="n">
        <f aca="false">$H74*$I74</f>
        <v>6000</v>
      </c>
      <c r="K74" s="26" t="str">
        <f aca="false">INDEX(02_Massnahmenkatalog!$H:$H,MATCH($B74,02_Massnahmenkatalog!$B:$B,0))</f>
        <v>Nein</v>
      </c>
      <c r="L74" s="15"/>
      <c r="M74" s="15" t="n">
        <v>3</v>
      </c>
      <c r="N74" s="26" t="n">
        <f aca="false">INDEX(02_Massnahmenkatalog!$G:$G,MATCH($B74,02_Massnahmenkatalog!$B:$B,0))</f>
        <v>32</v>
      </c>
      <c r="O74" s="29" t="n">
        <f aca="false">INDEX(04_Nutzungsdauern!$C:$C,MATCH($M74,04_Nutzungsdauern!$B:$B,0))</f>
        <v>0.7</v>
      </c>
      <c r="P74" s="18" t="n">
        <f aca="false">$N74*$O74-(A_Jahr-IF($L74="",Obj_Baujahr,$L74))</f>
        <v>-25.6</v>
      </c>
      <c r="Q74" s="18" t="n">
        <f aca="false">A_Jahr+MAX(0,$P74)</f>
        <v>2026</v>
      </c>
      <c r="R74" s="15" t="s">
        <v>601</v>
      </c>
      <c r="S74" s="18" t="str">
        <f aca="false">IF($R74="Automatik",IF($Q74&lt;=A_Jahr+A_Horizont,"JA","NEIN"),IF(OR($R74="Sofort",$R74="In Horizont"),"JA","NEIN"))</f>
        <v>JA</v>
      </c>
      <c r="T74" s="16" t="n">
        <v>0</v>
      </c>
      <c r="U74" s="20" t="n">
        <f aca="false">IF(AND($K74="Ja",$S74="JA"),$J74*(1-$T74),0)</f>
        <v>0</v>
      </c>
      <c r="V74" s="30" t="str">
        <f aca="false">IF(AND($S74="NEIN",OR(AND(Obj_Zielstandard="EH 55 EE",$X74="Ja"),AND(Obj_Zielstandard="EH 40 EE",$Y74="Ja"))),"Pflicht bei Zielstandard, aber nicht aufgenommen","")</f>
        <v/>
      </c>
      <c r="W74" s="15"/>
      <c r="X74" s="26" t="str">
        <f aca="false">INDEX(02_Massnahmenkatalog!$J:$J,MATCH($B74,02_Massnahmenkatalog!$B:$B,0))</f>
        <v>Nein</v>
      </c>
      <c r="Y74" s="26" t="str">
        <f aca="false">INDEX(02_Massnahmenkatalog!$K:$K,MATCH($B74,02_Massnahmenkatalog!$B:$B,0))</f>
        <v>Nein</v>
      </c>
    </row>
    <row r="75" customFormat="false" ht="23.85" hidden="false" customHeight="false" outlineLevel="0" collapsed="false">
      <c r="B75" s="18" t="s">
        <v>319</v>
      </c>
      <c r="C75" s="26" t="str">
        <f aca="false">INDEX(02_Massnahmenkatalog!$C:$C,MATCH($B75,02_Massnahmenkatalog!$B:$B,0))</f>
        <v>Elektro/Innenausbau</v>
      </c>
      <c r="D75" s="27" t="str">
        <f aca="false">INDEX(02_Massnahmenkatalog!$D:$D,MATCH($B75,02_Massnahmenkatalog!$B:$B,0))</f>
        <v>Innenputz/Malerarbeiten</v>
      </c>
      <c r="E75" s="26" t="str">
        <f aca="false">INDEX(02_Massnahmenkatalog!$E:$E,MATCH($B75,02_Massnahmenkatalog!$B:$B,0))</f>
        <v>€/m² Wandfläche</v>
      </c>
      <c r="F75" s="18" t="n">
        <f aca="false">Obj_Fassadenflaeche*2</f>
        <v>383.440978509079</v>
      </c>
      <c r="G75" s="15"/>
      <c r="H75" s="18" t="n">
        <f aca="false">IF($G75="",$F75,$G75)</f>
        <v>383.440978509079</v>
      </c>
      <c r="I75" s="28" t="n">
        <f aca="false">INDEX(02_Massnahmenkatalog!$F:$F,MATCH($B75,02_Massnahmenkatalog!$B:$B,0))</f>
        <v>45</v>
      </c>
      <c r="J75" s="20" t="n">
        <f aca="false">$H75*$I75</f>
        <v>17254.8440329086</v>
      </c>
      <c r="K75" s="26" t="str">
        <f aca="false">INDEX(02_Massnahmenkatalog!$H:$H,MATCH($B75,02_Massnahmenkatalog!$B:$B,0))</f>
        <v>Nein</v>
      </c>
      <c r="L75" s="15"/>
      <c r="M75" s="15" t="n">
        <v>3</v>
      </c>
      <c r="N75" s="26" t="n">
        <f aca="false">INDEX(02_Massnahmenkatalog!$G:$G,MATCH($B75,02_Massnahmenkatalog!$B:$B,0))</f>
        <v>20</v>
      </c>
      <c r="O75" s="29" t="n">
        <f aca="false">INDEX(04_Nutzungsdauern!$C:$C,MATCH($M75,04_Nutzungsdauern!$B:$B,0))</f>
        <v>0.7</v>
      </c>
      <c r="P75" s="18" t="n">
        <f aca="false">$N75*$O75-(A_Jahr-IF($L75="",Obj_Baujahr,$L75))</f>
        <v>-34</v>
      </c>
      <c r="Q75" s="18" t="n">
        <f aca="false">A_Jahr+MAX(0,$P75)</f>
        <v>2026</v>
      </c>
      <c r="R75" s="15" t="s">
        <v>601</v>
      </c>
      <c r="S75" s="18" t="str">
        <f aca="false">IF($R75="Automatik",IF($Q75&lt;=A_Jahr+A_Horizont,"JA","NEIN"),IF(OR($R75="Sofort",$R75="In Horizont"),"JA","NEIN"))</f>
        <v>JA</v>
      </c>
      <c r="T75" s="16" t="n">
        <v>0</v>
      </c>
      <c r="U75" s="20" t="n">
        <f aca="false">IF(AND($K75="Ja",$S75="JA"),$J75*(1-$T75),0)</f>
        <v>0</v>
      </c>
      <c r="V75" s="30" t="str">
        <f aca="false">IF(AND($S75="NEIN",OR(AND(Obj_Zielstandard="EH 55 EE",$X75="Ja"),AND(Obj_Zielstandard="EH 40 EE",$Y75="Ja"))),"Pflicht bei Zielstandard, aber nicht aufgenommen","")</f>
        <v/>
      </c>
      <c r="W75" s="15"/>
      <c r="X75" s="26" t="str">
        <f aca="false">INDEX(02_Massnahmenkatalog!$J:$J,MATCH($B75,02_Massnahmenkatalog!$B:$B,0))</f>
        <v>Nein</v>
      </c>
      <c r="Y75" s="26" t="str">
        <f aca="false">INDEX(02_Massnahmenkatalog!$K:$K,MATCH($B75,02_Massnahmenkatalog!$B:$B,0))</f>
        <v>Nein</v>
      </c>
    </row>
    <row r="76" customFormat="false" ht="23.85" hidden="false" customHeight="false" outlineLevel="0" collapsed="false">
      <c r="B76" s="18" t="s">
        <v>322</v>
      </c>
      <c r="C76" s="26" t="str">
        <f aca="false">INDEX(02_Massnahmenkatalog!$C:$C,MATCH($B76,02_Massnahmenkatalog!$B:$B,0))</f>
        <v>Elektro/Innenausbau</v>
      </c>
      <c r="D76" s="27" t="str">
        <f aca="false">INDEX(02_Massnahmenkatalog!$D:$D,MATCH($B76,02_Massnahmenkatalog!$B:$B,0))</f>
        <v>Innentüren ersetzen</v>
      </c>
      <c r="E76" s="26" t="str">
        <f aca="false">INDEX(02_Massnahmenkatalog!$E:$E,MATCH($B76,02_Massnahmenkatalog!$B:$B,0))</f>
        <v>€/Stück</v>
      </c>
      <c r="F76" s="18" t="n">
        <f aca="false">Obj_AnzTueren</f>
        <v>7</v>
      </c>
      <c r="G76" s="15"/>
      <c r="H76" s="18" t="n">
        <f aca="false">IF($G76="",$F76,$G76)</f>
        <v>7</v>
      </c>
      <c r="I76" s="28" t="n">
        <f aca="false">INDEX(02_Massnahmenkatalog!$F:$F,MATCH($B76,02_Massnahmenkatalog!$B:$B,0))</f>
        <v>600</v>
      </c>
      <c r="J76" s="20" t="n">
        <f aca="false">$H76*$I76</f>
        <v>4200</v>
      </c>
      <c r="K76" s="26" t="str">
        <f aca="false">INDEX(02_Massnahmenkatalog!$H:$H,MATCH($B76,02_Massnahmenkatalog!$B:$B,0))</f>
        <v>Nein</v>
      </c>
      <c r="L76" s="15"/>
      <c r="M76" s="15" t="n">
        <v>3</v>
      </c>
      <c r="N76" s="26" t="n">
        <f aca="false">INDEX(02_Massnahmenkatalog!$G:$G,MATCH($B76,02_Massnahmenkatalog!$B:$B,0))</f>
        <v>55</v>
      </c>
      <c r="O76" s="29" t="n">
        <f aca="false">INDEX(04_Nutzungsdauern!$C:$C,MATCH($M76,04_Nutzungsdauern!$B:$B,0))</f>
        <v>0.7</v>
      </c>
      <c r="P76" s="18" t="n">
        <f aca="false">$N76*$O76-(A_Jahr-IF($L76="",Obj_Baujahr,$L76))</f>
        <v>-9.5</v>
      </c>
      <c r="Q76" s="18" t="n">
        <f aca="false">A_Jahr+MAX(0,$P76)</f>
        <v>2026</v>
      </c>
      <c r="R76" s="15" t="s">
        <v>601</v>
      </c>
      <c r="S76" s="18" t="str">
        <f aca="false">IF($R76="Automatik",IF($Q76&lt;=A_Jahr+A_Horizont,"JA","NEIN"),IF(OR($R76="Sofort",$R76="In Horizont"),"JA","NEIN"))</f>
        <v>JA</v>
      </c>
      <c r="T76" s="16" t="n">
        <v>0</v>
      </c>
      <c r="U76" s="20" t="n">
        <f aca="false">IF(AND($K76="Ja",$S76="JA"),$J76*(1-$T76),0)</f>
        <v>0</v>
      </c>
      <c r="V76" s="30" t="str">
        <f aca="false">IF(AND($S76="NEIN",OR(AND(Obj_Zielstandard="EH 55 EE",$X76="Ja"),AND(Obj_Zielstandard="EH 40 EE",$Y76="Ja"))),"Pflicht bei Zielstandard, aber nicht aufgenommen","")</f>
        <v/>
      </c>
      <c r="W76" s="15"/>
      <c r="X76" s="26" t="str">
        <f aca="false">INDEX(02_Massnahmenkatalog!$J:$J,MATCH($B76,02_Massnahmenkatalog!$B:$B,0))</f>
        <v>Nein</v>
      </c>
      <c r="Y76" s="26" t="str">
        <f aca="false">INDEX(02_Massnahmenkatalog!$K:$K,MATCH($B76,02_Massnahmenkatalog!$B:$B,0))</f>
        <v>Nein</v>
      </c>
    </row>
    <row r="77" customFormat="false" ht="46.25" hidden="false" customHeight="false" outlineLevel="0" collapsed="false">
      <c r="B77" s="18" t="s">
        <v>324</v>
      </c>
      <c r="C77" s="26" t="str">
        <f aca="false">INDEX(02_Massnahmenkatalog!$C:$C,MATCH($B77,02_Massnahmenkatalog!$B:$B,0))</f>
        <v>Elektro/Innenausbau</v>
      </c>
      <c r="D77" s="27" t="str">
        <f aca="false">INDEX(02_Massnahmenkatalog!$D:$D,MATCH($B77,02_Massnahmenkatalog!$B:$B,0))</f>
        <v>Bodenbeläge (Mix Parkett/Fliese)</v>
      </c>
      <c r="E77" s="26" t="str">
        <f aca="false">INDEX(02_Massnahmenkatalog!$E:$E,MATCH($B77,02_Massnahmenkatalog!$B:$B,0))</f>
        <v>€/m² WF</v>
      </c>
      <c r="F77" s="18" t="n">
        <f aca="false">Obj_Wohnflaeche</f>
        <v>130</v>
      </c>
      <c r="G77" s="15"/>
      <c r="H77" s="18" t="n">
        <f aca="false">IF($G77="",$F77,$G77)</f>
        <v>130</v>
      </c>
      <c r="I77" s="28" t="n">
        <f aca="false">INDEX(02_Massnahmenkatalog!$F:$F,MATCH($B77,02_Massnahmenkatalog!$B:$B,0))</f>
        <v>120</v>
      </c>
      <c r="J77" s="20" t="n">
        <f aca="false">$H77*$I77</f>
        <v>15600</v>
      </c>
      <c r="K77" s="26" t="str">
        <f aca="false">INDEX(02_Massnahmenkatalog!$H:$H,MATCH($B77,02_Massnahmenkatalog!$B:$B,0))</f>
        <v>Nein</v>
      </c>
      <c r="L77" s="15"/>
      <c r="M77" s="15" t="n">
        <v>3</v>
      </c>
      <c r="N77" s="26" t="n">
        <f aca="false">INDEX(02_Massnahmenkatalog!$G:$G,MATCH($B77,02_Massnahmenkatalog!$B:$B,0))</f>
        <v>35</v>
      </c>
      <c r="O77" s="29" t="n">
        <f aca="false">INDEX(04_Nutzungsdauern!$C:$C,MATCH($M77,04_Nutzungsdauern!$B:$B,0))</f>
        <v>0.7</v>
      </c>
      <c r="P77" s="18" t="n">
        <f aca="false">$N77*$O77-(A_Jahr-IF($L77="",Obj_Baujahr,$L77))</f>
        <v>-23.5</v>
      </c>
      <c r="Q77" s="18" t="n">
        <f aca="false">A_Jahr+MAX(0,$P77)</f>
        <v>2026</v>
      </c>
      <c r="R77" s="15" t="s">
        <v>601</v>
      </c>
      <c r="S77" s="18" t="str">
        <f aca="false">IF($R77="Automatik",IF($Q77&lt;=A_Jahr+A_Horizont,"JA","NEIN"),IF(OR($R77="Sofort",$R77="In Horizont"),"JA","NEIN"))</f>
        <v>JA</v>
      </c>
      <c r="T77" s="16" t="n">
        <v>0</v>
      </c>
      <c r="U77" s="20" t="n">
        <f aca="false">IF(AND($K77="Ja",$S77="JA"),$J77*(1-$T77),0)</f>
        <v>0</v>
      </c>
      <c r="V77" s="30" t="str">
        <f aca="false">IF(AND($S77="NEIN",OR(AND(Obj_Zielstandard="EH 55 EE",$X77="Ja"),AND(Obj_Zielstandard="EH 40 EE",$Y77="Ja"))),"Pflicht bei Zielstandard, aber nicht aufgenommen","")</f>
        <v/>
      </c>
      <c r="W77" s="15"/>
      <c r="X77" s="26" t="str">
        <f aca="false">INDEX(02_Massnahmenkatalog!$J:$J,MATCH($B77,02_Massnahmenkatalog!$B:$B,0))</f>
        <v>Nein</v>
      </c>
      <c r="Y77" s="26" t="str">
        <f aca="false">INDEX(02_Massnahmenkatalog!$K:$K,MATCH($B77,02_Massnahmenkatalog!$B:$B,0))</f>
        <v>Nein</v>
      </c>
    </row>
    <row r="78" customFormat="false" ht="23.85" hidden="false" customHeight="false" outlineLevel="0" collapsed="false">
      <c r="B78" s="18" t="s">
        <v>327</v>
      </c>
      <c r="C78" s="26" t="str">
        <f aca="false">INDEX(02_Massnahmenkatalog!$C:$C,MATCH($B78,02_Massnahmenkatalog!$B:$B,0))</f>
        <v>Elektro/Innenausbau</v>
      </c>
      <c r="D78" s="27" t="str">
        <f aca="false">INDEX(02_Massnahmenkatalog!$D:$D,MATCH($B78,02_Massnahmenkatalog!$B:$B,0))</f>
        <v>Treppe erneuern</v>
      </c>
      <c r="E78" s="26" t="str">
        <f aca="false">INDEX(02_Massnahmenkatalog!$E:$E,MATCH($B78,02_Massnahmenkatalog!$B:$B,0))</f>
        <v>€ pauschal</v>
      </c>
      <c r="F78" s="18" t="n">
        <f aca="false">1</f>
        <v>1</v>
      </c>
      <c r="G78" s="15"/>
      <c r="H78" s="18" t="n">
        <f aca="false">IF($G78="",$F78,$G78)</f>
        <v>1</v>
      </c>
      <c r="I78" s="28" t="n">
        <f aca="false">INDEX(02_Massnahmenkatalog!$F:$F,MATCH($B78,02_Massnahmenkatalog!$B:$B,0))</f>
        <v>3200</v>
      </c>
      <c r="J78" s="20" t="n">
        <f aca="false">$H78*$I78</f>
        <v>3200</v>
      </c>
      <c r="K78" s="26" t="str">
        <f aca="false">INDEX(02_Massnahmenkatalog!$H:$H,MATCH($B78,02_Massnahmenkatalog!$B:$B,0))</f>
        <v>Nein</v>
      </c>
      <c r="L78" s="15"/>
      <c r="M78" s="15" t="n">
        <v>3</v>
      </c>
      <c r="N78" s="26" t="n">
        <f aca="false">INDEX(02_Massnahmenkatalog!$G:$G,MATCH($B78,02_Massnahmenkatalog!$B:$B,0))</f>
        <v>0</v>
      </c>
      <c r="O78" s="29" t="n">
        <f aca="false">INDEX(04_Nutzungsdauern!$C:$C,MATCH($M78,04_Nutzungsdauern!$B:$B,0))</f>
        <v>0.7</v>
      </c>
      <c r="P78" s="18" t="n">
        <f aca="false">$N78*$O78-(A_Jahr-IF($L78="",Obj_Baujahr,$L78))</f>
        <v>-48</v>
      </c>
      <c r="Q78" s="18" t="n">
        <f aca="false">A_Jahr+MAX(0,$P78)</f>
        <v>2026</v>
      </c>
      <c r="R78" s="15" t="s">
        <v>601</v>
      </c>
      <c r="S78" s="18" t="str">
        <f aca="false">IF($R78="Automatik",IF($Q78&lt;=A_Jahr+A_Horizont,"JA","NEIN"),IF(OR($R78="Sofort",$R78="In Horizont"),"JA","NEIN"))</f>
        <v>JA</v>
      </c>
      <c r="T78" s="16" t="n">
        <v>0</v>
      </c>
      <c r="U78" s="20" t="n">
        <f aca="false">IF(AND($K78="Ja",$S78="JA"),$J78*(1-$T78),0)</f>
        <v>0</v>
      </c>
      <c r="V78" s="30" t="str">
        <f aca="false">IF(AND($S78="NEIN",OR(AND(Obj_Zielstandard="EH 55 EE",$X78="Ja"),AND(Obj_Zielstandard="EH 40 EE",$Y78="Ja"))),"Pflicht bei Zielstandard, aber nicht aufgenommen","")</f>
        <v/>
      </c>
      <c r="W78" s="15"/>
      <c r="X78" s="26" t="str">
        <f aca="false">INDEX(02_Massnahmenkatalog!$J:$J,MATCH($B78,02_Massnahmenkatalog!$B:$B,0))</f>
        <v>Nein</v>
      </c>
      <c r="Y78" s="26" t="str">
        <f aca="false">INDEX(02_Massnahmenkatalog!$K:$K,MATCH($B78,02_Massnahmenkatalog!$B:$B,0))</f>
        <v>Nein</v>
      </c>
    </row>
    <row r="79" customFormat="false" ht="35.05" hidden="false" customHeight="false" outlineLevel="0" collapsed="false">
      <c r="B79" s="18" t="s">
        <v>330</v>
      </c>
      <c r="C79" s="26" t="str">
        <f aca="false">INDEX(02_Massnahmenkatalog!$C:$C,MATCH($B79,02_Massnahmenkatalog!$B:$B,0))</f>
        <v>Elektro/Innenausbau</v>
      </c>
      <c r="D79" s="27" t="str">
        <f aca="false">INDEX(02_Massnahmenkatalog!$D:$D,MATCH($B79,02_Massnahmenkatalog!$B:$B,0))</f>
        <v>Wanddurchbruch tragend inkl. Statiker</v>
      </c>
      <c r="E79" s="26" t="str">
        <f aca="false">INDEX(02_Massnahmenkatalog!$E:$E,MATCH($B79,02_Massnahmenkatalog!$B:$B,0))</f>
        <v>€/Stück</v>
      </c>
      <c r="F79" s="18" t="n">
        <f aca="false">0</f>
        <v>0</v>
      </c>
      <c r="G79" s="15"/>
      <c r="H79" s="18" t="n">
        <f aca="false">IF($G79="",$F79,$G79)</f>
        <v>0</v>
      </c>
      <c r="I79" s="28" t="n">
        <f aca="false">INDEX(02_Massnahmenkatalog!$F:$F,MATCH($B79,02_Massnahmenkatalog!$B:$B,0))</f>
        <v>2900</v>
      </c>
      <c r="J79" s="20" t="n">
        <f aca="false">$H79*$I79</f>
        <v>0</v>
      </c>
      <c r="K79" s="26" t="str">
        <f aca="false">INDEX(02_Massnahmenkatalog!$H:$H,MATCH($B79,02_Massnahmenkatalog!$B:$B,0))</f>
        <v>Nein</v>
      </c>
      <c r="L79" s="15"/>
      <c r="M79" s="15" t="n">
        <v>3</v>
      </c>
      <c r="N79" s="26" t="n">
        <f aca="false">INDEX(02_Massnahmenkatalog!$G:$G,MATCH($B79,02_Massnahmenkatalog!$B:$B,0))</f>
        <v>0</v>
      </c>
      <c r="O79" s="29" t="n">
        <f aca="false">INDEX(04_Nutzungsdauern!$C:$C,MATCH($M79,04_Nutzungsdauern!$B:$B,0))</f>
        <v>0.7</v>
      </c>
      <c r="P79" s="18" t="n">
        <f aca="false">$N79*$O79-(A_Jahr-IF($L79="",Obj_Baujahr,$L79))</f>
        <v>-48</v>
      </c>
      <c r="Q79" s="18" t="n">
        <f aca="false">A_Jahr+MAX(0,$P79)</f>
        <v>2026</v>
      </c>
      <c r="R79" s="15" t="s">
        <v>601</v>
      </c>
      <c r="S79" s="18" t="str">
        <f aca="false">IF($R79="Automatik",IF($Q79&lt;=A_Jahr+A_Horizont,"JA","NEIN"),IF(OR($R79="Sofort",$R79="In Horizont"),"JA","NEIN"))</f>
        <v>JA</v>
      </c>
      <c r="T79" s="16" t="n">
        <v>0</v>
      </c>
      <c r="U79" s="20" t="n">
        <f aca="false">IF(AND($K79="Ja",$S79="JA"),$J79*(1-$T79),0)</f>
        <v>0</v>
      </c>
      <c r="V79" s="30" t="str">
        <f aca="false">IF(AND($S79="NEIN",OR(AND(Obj_Zielstandard="EH 55 EE",$X79="Ja"),AND(Obj_Zielstandard="EH 40 EE",$Y79="Ja"))),"Pflicht bei Zielstandard, aber nicht aufgenommen","")</f>
        <v/>
      </c>
      <c r="W79" s="15"/>
      <c r="X79" s="26" t="str">
        <f aca="false">INDEX(02_Massnahmenkatalog!$J:$J,MATCH($B79,02_Massnahmenkatalog!$B:$B,0))</f>
        <v>Nein</v>
      </c>
      <c r="Y79" s="26" t="str">
        <f aca="false">INDEX(02_Massnahmenkatalog!$K:$K,MATCH($B79,02_Massnahmenkatalog!$B:$B,0))</f>
        <v>Nein</v>
      </c>
    </row>
    <row r="80" customFormat="false" ht="57.45" hidden="false" customHeight="false" outlineLevel="0" collapsed="false">
      <c r="B80" s="18" t="s">
        <v>333</v>
      </c>
      <c r="C80" s="26" t="str">
        <f aca="false">INDEX(02_Massnahmenkatalog!$C:$C,MATCH($B80,02_Massnahmenkatalog!$B:$B,0))</f>
        <v>Elektro/Innenausbau</v>
      </c>
      <c r="D80" s="27" t="str">
        <f aca="false">INDEX(02_Massnahmenkatalog!$D:$D,MATCH($B80,02_Massnahmenkatalog!$B:$B,0))</f>
        <v>Entkernung komplett (nur Vollsanierung Baujahr &lt;1960)</v>
      </c>
      <c r="E80" s="26" t="str">
        <f aca="false">INDEX(02_Massnahmenkatalog!$E:$E,MATCH($B80,02_Massnahmenkatalog!$B:$B,0))</f>
        <v>€/m² WF</v>
      </c>
      <c r="F80" s="18" t="n">
        <f aca="false">Obj_Wohnflaeche</f>
        <v>130</v>
      </c>
      <c r="G80" s="15"/>
      <c r="H80" s="18" t="n">
        <f aca="false">IF($G80="",$F80,$G80)</f>
        <v>130</v>
      </c>
      <c r="I80" s="28" t="n">
        <f aca="false">INDEX(02_Massnahmenkatalog!$F:$F,MATCH($B80,02_Massnahmenkatalog!$B:$B,0))</f>
        <v>95</v>
      </c>
      <c r="J80" s="20" t="n">
        <f aca="false">$H80*$I80</f>
        <v>12350</v>
      </c>
      <c r="K80" s="26" t="str">
        <f aca="false">INDEX(02_Massnahmenkatalog!$H:$H,MATCH($B80,02_Massnahmenkatalog!$B:$B,0))</f>
        <v>Nein</v>
      </c>
      <c r="L80" s="15"/>
      <c r="M80" s="15" t="n">
        <v>3</v>
      </c>
      <c r="N80" s="26" t="n">
        <f aca="false">INDEX(02_Massnahmenkatalog!$G:$G,MATCH($B80,02_Massnahmenkatalog!$B:$B,0))</f>
        <v>0</v>
      </c>
      <c r="O80" s="29" t="n">
        <f aca="false">INDEX(04_Nutzungsdauern!$C:$C,MATCH($M80,04_Nutzungsdauern!$B:$B,0))</f>
        <v>0.7</v>
      </c>
      <c r="P80" s="18" t="n">
        <f aca="false">$N80*$O80-(A_Jahr-IF($L80="",Obj_Baujahr,$L80))</f>
        <v>-48</v>
      </c>
      <c r="Q80" s="18" t="n">
        <f aca="false">A_Jahr+MAX(0,$P80)</f>
        <v>2026</v>
      </c>
      <c r="R80" s="15" t="s">
        <v>601</v>
      </c>
      <c r="S80" s="18" t="str">
        <f aca="false">IF($R80="Automatik",IF($Q80&lt;=A_Jahr+A_Horizont,"JA","NEIN"),IF(OR($R80="Sofort",$R80="In Horizont"),"JA","NEIN"))</f>
        <v>JA</v>
      </c>
      <c r="T80" s="16" t="n">
        <v>0</v>
      </c>
      <c r="U80" s="20" t="n">
        <f aca="false">IF(AND($K80="Ja",$S80="JA"),$J80*(1-$T80),0)</f>
        <v>0</v>
      </c>
      <c r="V80" s="30" t="str">
        <f aca="false">IF(AND($S80="NEIN",OR(AND(Obj_Zielstandard="EH 55 EE",$X80="Ja"),AND(Obj_Zielstandard="EH 40 EE",$Y80="Ja"))),"Pflicht bei Zielstandard, aber nicht aufgenommen","")</f>
        <v/>
      </c>
      <c r="W80" s="15"/>
      <c r="X80" s="26" t="str">
        <f aca="false">INDEX(02_Massnahmenkatalog!$J:$J,MATCH($B80,02_Massnahmenkatalog!$B:$B,0))</f>
        <v>Nein</v>
      </c>
      <c r="Y80" s="26" t="str">
        <f aca="false">INDEX(02_Massnahmenkatalog!$K:$K,MATCH($B80,02_Massnahmenkatalog!$B:$B,0))</f>
        <v>Nein</v>
      </c>
    </row>
    <row r="81" customFormat="false" ht="57.45" hidden="false" customHeight="false" outlineLevel="0" collapsed="false">
      <c r="B81" s="18" t="s">
        <v>336</v>
      </c>
      <c r="C81" s="26" t="str">
        <f aca="false">INDEX(02_Massnahmenkatalog!$C:$C,MATCH($B81,02_Massnahmenkatalog!$B:$B,0))</f>
        <v>Risiko/Schadstoff</v>
      </c>
      <c r="D81" s="27" t="str">
        <f aca="false">INDEX(02_Massnahmenkatalog!$D:$D,MATCH($B81,02_Massnahmenkatalog!$B:$B,0))</f>
        <v>Asbest-Eternitplatten Dach: Demontage+Entsorgung</v>
      </c>
      <c r="E81" s="26" t="str">
        <f aca="false">INDEX(02_Massnahmenkatalog!$E:$E,MATCH($B81,02_Massnahmenkatalog!$B:$B,0))</f>
        <v>€/m² Dachfläche</v>
      </c>
      <c r="F81" s="18" t="n">
        <f aca="false">IF(AND(Obj_Baujahr&lt;1994,Obj_DachEternit="Ja"),Obj_Dachflaeche,0)</f>
        <v>0</v>
      </c>
      <c r="G81" s="15"/>
      <c r="H81" s="18" t="n">
        <f aca="false">IF($G81="",$F81,$G81)</f>
        <v>0</v>
      </c>
      <c r="I81" s="28" t="n">
        <f aca="false">INDEX(02_Massnahmenkatalog!$F:$F,MATCH($B81,02_Massnahmenkatalog!$B:$B,0))</f>
        <v>40</v>
      </c>
      <c r="J81" s="20" t="n">
        <f aca="false">$H81*$I81</f>
        <v>0</v>
      </c>
      <c r="K81" s="26" t="str">
        <f aca="false">INDEX(02_Massnahmenkatalog!$H:$H,MATCH($B81,02_Massnahmenkatalog!$B:$B,0))</f>
        <v>Nein</v>
      </c>
      <c r="L81" s="15"/>
      <c r="M81" s="15" t="n">
        <v>3</v>
      </c>
      <c r="N81" s="26" t="n">
        <f aca="false">INDEX(02_Massnahmenkatalog!$G:$G,MATCH($B81,02_Massnahmenkatalog!$B:$B,0))</f>
        <v>0</v>
      </c>
      <c r="O81" s="29" t="n">
        <f aca="false">INDEX(04_Nutzungsdauern!$C:$C,MATCH($M81,04_Nutzungsdauern!$B:$B,0))</f>
        <v>0.7</v>
      </c>
      <c r="P81" s="18" t="n">
        <f aca="false">$N81*$O81-(A_Jahr-IF($L81="",Obj_Baujahr,$L81))</f>
        <v>-48</v>
      </c>
      <c r="Q81" s="18" t="n">
        <f aca="false">A_Jahr+MAX(0,$P81)</f>
        <v>2026</v>
      </c>
      <c r="R81" s="15" t="s">
        <v>601</v>
      </c>
      <c r="S81" s="18" t="str">
        <f aca="false">IF($R81="Automatik",IF($Q81&lt;=A_Jahr+A_Horizont,"JA","NEIN"),IF(OR($R81="Sofort",$R81="In Horizont"),"JA","NEIN"))</f>
        <v>JA</v>
      </c>
      <c r="T81" s="16" t="n">
        <v>0</v>
      </c>
      <c r="U81" s="20" t="n">
        <f aca="false">IF(AND($K81="Ja",$S81="JA"),$J81*(1-$T81),0)</f>
        <v>0</v>
      </c>
      <c r="V81" s="30" t="str">
        <f aca="false">IF(AND($S81="NEIN",OR(AND(Obj_Zielstandard="EH 55 EE",$X81="Ja"),AND(Obj_Zielstandard="EH 40 EE",$Y81="Ja"))),"Pflicht bei Zielstandard, aber nicht aufgenommen","")</f>
        <v/>
      </c>
      <c r="W81" s="15"/>
      <c r="X81" s="26" t="str">
        <f aca="false">INDEX(02_Massnahmenkatalog!$J:$J,MATCH($B81,02_Massnahmenkatalog!$B:$B,0))</f>
        <v>Nein</v>
      </c>
      <c r="Y81" s="26" t="str">
        <f aca="false">INDEX(02_Massnahmenkatalog!$K:$K,MATCH($B81,02_Massnahmenkatalog!$B:$B,0))</f>
        <v>Nein</v>
      </c>
    </row>
    <row r="82" customFormat="false" ht="35.05" hidden="false" customHeight="false" outlineLevel="0" collapsed="false">
      <c r="B82" s="18" t="s">
        <v>340</v>
      </c>
      <c r="C82" s="26" t="str">
        <f aca="false">INDEX(02_Massnahmenkatalog!$C:$C,MATCH($B82,02_Massnahmenkatalog!$B:$B,0))</f>
        <v>Risiko/Schadstoff</v>
      </c>
      <c r="D82" s="27" t="str">
        <f aca="false">INDEX(02_Massnahmenkatalog!$D:$D,MATCH($B82,02_Massnahmenkatalog!$B:$B,0))</f>
        <v>Vinyl-Asbest-Fliesen entfernen</v>
      </c>
      <c r="E82" s="26" t="str">
        <f aca="false">INDEX(02_Massnahmenkatalog!$E:$E,MATCH($B82,02_Massnahmenkatalog!$B:$B,0))</f>
        <v>€/m² WF</v>
      </c>
      <c r="F82" s="18" t="n">
        <f aca="false">IF(Obj_Baujahr&lt;1994,Obj_Wohnflaeche,0)</f>
        <v>130</v>
      </c>
      <c r="G82" s="15"/>
      <c r="H82" s="18" t="n">
        <f aca="false">IF($G82="",$F82,$G82)</f>
        <v>130</v>
      </c>
      <c r="I82" s="28" t="n">
        <f aca="false">INDEX(02_Massnahmenkatalog!$F:$F,MATCH($B82,02_Massnahmenkatalog!$B:$B,0))</f>
        <v>40</v>
      </c>
      <c r="J82" s="20" t="n">
        <f aca="false">$H82*$I82</f>
        <v>5200</v>
      </c>
      <c r="K82" s="26" t="str">
        <f aca="false">INDEX(02_Massnahmenkatalog!$H:$H,MATCH($B82,02_Massnahmenkatalog!$B:$B,0))</f>
        <v>Nein</v>
      </c>
      <c r="L82" s="15"/>
      <c r="M82" s="15" t="n">
        <v>3</v>
      </c>
      <c r="N82" s="26" t="n">
        <f aca="false">INDEX(02_Massnahmenkatalog!$G:$G,MATCH($B82,02_Massnahmenkatalog!$B:$B,0))</f>
        <v>0</v>
      </c>
      <c r="O82" s="29" t="n">
        <f aca="false">INDEX(04_Nutzungsdauern!$C:$C,MATCH($M82,04_Nutzungsdauern!$B:$B,0))</f>
        <v>0.7</v>
      </c>
      <c r="P82" s="18" t="n">
        <f aca="false">$N82*$O82-(A_Jahr-IF($L82="",Obj_Baujahr,$L82))</f>
        <v>-48</v>
      </c>
      <c r="Q82" s="18" t="n">
        <f aca="false">A_Jahr+MAX(0,$P82)</f>
        <v>2026</v>
      </c>
      <c r="R82" s="15" t="s">
        <v>601</v>
      </c>
      <c r="S82" s="18" t="str">
        <f aca="false">IF($R82="Automatik",IF($Q82&lt;=A_Jahr+A_Horizont,"JA","NEIN"),IF(OR($R82="Sofort",$R82="In Horizont"),"JA","NEIN"))</f>
        <v>JA</v>
      </c>
      <c r="T82" s="16" t="n">
        <v>0</v>
      </c>
      <c r="U82" s="20" t="n">
        <f aca="false">IF(AND($K82="Ja",$S82="JA"),$J82*(1-$T82),0)</f>
        <v>0</v>
      </c>
      <c r="V82" s="30" t="str">
        <f aca="false">IF(AND($S82="NEIN",OR(AND(Obj_Zielstandard="EH 55 EE",$X82="Ja"),AND(Obj_Zielstandard="EH 40 EE",$Y82="Ja"))),"Pflicht bei Zielstandard, aber nicht aufgenommen","")</f>
        <v/>
      </c>
      <c r="W82" s="15"/>
      <c r="X82" s="26" t="str">
        <f aca="false">INDEX(02_Massnahmenkatalog!$J:$J,MATCH($B82,02_Massnahmenkatalog!$B:$B,0))</f>
        <v>Nein</v>
      </c>
      <c r="Y82" s="26" t="str">
        <f aca="false">INDEX(02_Massnahmenkatalog!$K:$K,MATCH($B82,02_Massnahmenkatalog!$B:$B,0))</f>
        <v>Nein</v>
      </c>
    </row>
    <row r="83" customFormat="false" ht="57.45" hidden="false" customHeight="false" outlineLevel="0" collapsed="false">
      <c r="B83" s="18" t="s">
        <v>343</v>
      </c>
      <c r="C83" s="26" t="str">
        <f aca="false">INDEX(02_Massnahmenkatalog!$C:$C,MATCH($B83,02_Massnahmenkatalog!$B:$B,0))</f>
        <v>Risiko/Schadstoff</v>
      </c>
      <c r="D83" s="27" t="str">
        <f aca="false">INDEX(02_Massnahmenkatalog!$D:$D,MATCH($B83,02_Massnahmenkatalog!$B:$B,0))</f>
        <v>Nachtspeicherofen entsorgen (asbestverdächtig)</v>
      </c>
      <c r="E83" s="26" t="str">
        <f aca="false">INDEX(02_Massnahmenkatalog!$E:$E,MATCH($B83,02_Massnahmenkatalog!$B:$B,0))</f>
        <v>€/Gerät</v>
      </c>
      <c r="F83" s="18" t="n">
        <f aca="false">Obj_AnzNachtspeicher</f>
        <v>0</v>
      </c>
      <c r="G83" s="15"/>
      <c r="H83" s="18" t="n">
        <f aca="false">IF($G83="",$F83,$G83)</f>
        <v>0</v>
      </c>
      <c r="I83" s="28" t="n">
        <f aca="false">INDEX(02_Massnahmenkatalog!$F:$F,MATCH($B83,02_Massnahmenkatalog!$B:$B,0))</f>
        <v>220</v>
      </c>
      <c r="J83" s="20" t="n">
        <f aca="false">$H83*$I83</f>
        <v>0</v>
      </c>
      <c r="K83" s="26" t="str">
        <f aca="false">INDEX(02_Massnahmenkatalog!$H:$H,MATCH($B83,02_Massnahmenkatalog!$B:$B,0))</f>
        <v>Nein</v>
      </c>
      <c r="L83" s="15"/>
      <c r="M83" s="15" t="n">
        <v>3</v>
      </c>
      <c r="N83" s="26" t="n">
        <f aca="false">INDEX(02_Massnahmenkatalog!$G:$G,MATCH($B83,02_Massnahmenkatalog!$B:$B,0))</f>
        <v>0</v>
      </c>
      <c r="O83" s="29" t="n">
        <f aca="false">INDEX(04_Nutzungsdauern!$C:$C,MATCH($M83,04_Nutzungsdauern!$B:$B,0))</f>
        <v>0.7</v>
      </c>
      <c r="P83" s="18" t="n">
        <f aca="false">$N83*$O83-(A_Jahr-IF($L83="",Obj_Baujahr,$L83))</f>
        <v>-48</v>
      </c>
      <c r="Q83" s="18" t="n">
        <f aca="false">A_Jahr+MAX(0,$P83)</f>
        <v>2026</v>
      </c>
      <c r="R83" s="15" t="s">
        <v>601</v>
      </c>
      <c r="S83" s="18" t="str">
        <f aca="false">IF($R83="Automatik",IF($Q83&lt;=A_Jahr+A_Horizont,"JA","NEIN"),IF(OR($R83="Sofort",$R83="In Horizont"),"JA","NEIN"))</f>
        <v>JA</v>
      </c>
      <c r="T83" s="16" t="n">
        <v>0</v>
      </c>
      <c r="U83" s="20" t="n">
        <f aca="false">IF(AND($K83="Ja",$S83="JA"),$J83*(1-$T83),0)</f>
        <v>0</v>
      </c>
      <c r="V83" s="30" t="str">
        <f aca="false">IF(AND($S83="NEIN",OR(AND(Obj_Zielstandard="EH 55 EE",$X83="Ja"),AND(Obj_Zielstandard="EH 40 EE",$Y83="Ja"))),"Pflicht bei Zielstandard, aber nicht aufgenommen","")</f>
        <v/>
      </c>
      <c r="W83" s="15"/>
      <c r="X83" s="26" t="str">
        <f aca="false">INDEX(02_Massnahmenkatalog!$J:$J,MATCH($B83,02_Massnahmenkatalog!$B:$B,0))</f>
        <v>Nein</v>
      </c>
      <c r="Y83" s="26" t="str">
        <f aca="false">INDEX(02_Massnahmenkatalog!$K:$K,MATCH($B83,02_Massnahmenkatalog!$B:$B,0))</f>
        <v>Nein</v>
      </c>
    </row>
    <row r="84" customFormat="false" ht="35.05" hidden="false" customHeight="false" outlineLevel="0" collapsed="false">
      <c r="B84" s="18" t="s">
        <v>346</v>
      </c>
      <c r="C84" s="26" t="str">
        <f aca="false">INDEX(02_Massnahmenkatalog!$C:$C,MATCH($B84,02_Massnahmenkatalog!$B:$B,0))</f>
        <v>Risiko/Schadstoff</v>
      </c>
      <c r="D84" s="27" t="str">
        <f aca="false">INDEX(02_Massnahmenkatalog!$D:$D,MATCH($B84,02_Massnahmenkatalog!$B:$B,0))</f>
        <v>Öltank-Stilllegung + Entsorgung</v>
      </c>
      <c r="E84" s="26" t="str">
        <f aca="false">INDEX(02_Massnahmenkatalog!$E:$E,MATCH($B84,02_Massnahmenkatalog!$B:$B,0))</f>
        <v>€ pauschal</v>
      </c>
      <c r="F84" s="18" t="n">
        <f aca="false">IF(Obj_HeizungAlt="Ölheizung",1,0)</f>
        <v>0</v>
      </c>
      <c r="G84" s="15"/>
      <c r="H84" s="18" t="n">
        <f aca="false">IF($G84="",$F84,$G84)</f>
        <v>0</v>
      </c>
      <c r="I84" s="28" t="n">
        <f aca="false">INDEX(02_Massnahmenkatalog!$F:$F,MATCH($B84,02_Massnahmenkatalog!$B:$B,0))</f>
        <v>1500</v>
      </c>
      <c r="J84" s="20" t="n">
        <f aca="false">$H84*$I84</f>
        <v>0</v>
      </c>
      <c r="K84" s="26" t="str">
        <f aca="false">INDEX(02_Massnahmenkatalog!$H:$H,MATCH($B84,02_Massnahmenkatalog!$B:$B,0))</f>
        <v>Nein</v>
      </c>
      <c r="L84" s="15"/>
      <c r="M84" s="15" t="n">
        <v>3</v>
      </c>
      <c r="N84" s="26" t="n">
        <f aca="false">INDEX(02_Massnahmenkatalog!$G:$G,MATCH($B84,02_Massnahmenkatalog!$B:$B,0))</f>
        <v>0</v>
      </c>
      <c r="O84" s="29" t="n">
        <f aca="false">INDEX(04_Nutzungsdauern!$C:$C,MATCH($M84,04_Nutzungsdauern!$B:$B,0))</f>
        <v>0.7</v>
      </c>
      <c r="P84" s="18" t="n">
        <f aca="false">$N84*$O84-(A_Jahr-IF($L84="",Obj_Baujahr,$L84))</f>
        <v>-48</v>
      </c>
      <c r="Q84" s="18" t="n">
        <f aca="false">A_Jahr+MAX(0,$P84)</f>
        <v>2026</v>
      </c>
      <c r="R84" s="15" t="s">
        <v>601</v>
      </c>
      <c r="S84" s="18" t="str">
        <f aca="false">IF($R84="Automatik",IF($Q84&lt;=A_Jahr+A_Horizont,"JA","NEIN"),IF(OR($R84="Sofort",$R84="In Horizont"),"JA","NEIN"))</f>
        <v>JA</v>
      </c>
      <c r="T84" s="16" t="n">
        <v>0</v>
      </c>
      <c r="U84" s="20" t="n">
        <f aca="false">IF(AND($K84="Ja",$S84="JA"),$J84*(1-$T84),0)</f>
        <v>0</v>
      </c>
      <c r="V84" s="30" t="str">
        <f aca="false">IF(AND($S84="NEIN",OR(AND(Obj_Zielstandard="EH 55 EE",$X84="Ja"),AND(Obj_Zielstandard="EH 40 EE",$Y84="Ja"))),"Pflicht bei Zielstandard, aber nicht aufgenommen","")</f>
        <v/>
      </c>
      <c r="W84" s="15"/>
      <c r="X84" s="26" t="str">
        <f aca="false">INDEX(02_Massnahmenkatalog!$J:$J,MATCH($B84,02_Massnahmenkatalog!$B:$B,0))</f>
        <v>Nein</v>
      </c>
      <c r="Y84" s="26" t="str">
        <f aca="false">INDEX(02_Massnahmenkatalog!$K:$K,MATCH($B84,02_Massnahmenkatalog!$B:$B,0))</f>
        <v>Nein</v>
      </c>
    </row>
    <row r="85" customFormat="false" ht="46.25" hidden="false" customHeight="false" outlineLevel="0" collapsed="false">
      <c r="B85" s="18" t="s">
        <v>349</v>
      </c>
      <c r="C85" s="26" t="str">
        <f aca="false">INDEX(02_Massnahmenkatalog!$C:$C,MATCH($B85,02_Massnahmenkatalog!$B:$B,0))</f>
        <v>Risiko/Schadstoff</v>
      </c>
      <c r="D85" s="27" t="str">
        <f aca="false">INDEX(02_Massnahmenkatalog!$D:$D,MATCH($B85,02_Massnahmenkatalog!$B:$B,0))</f>
        <v>Horizontalsperre gegen aufsteigende Feuchte</v>
      </c>
      <c r="E85" s="26" t="str">
        <f aca="false">INDEX(02_Massnahmenkatalog!$E:$E,MATCH($B85,02_Massnahmenkatalog!$B:$B,0))</f>
        <v>€/lfm Außenwand</v>
      </c>
      <c r="F85" s="18" t="n">
        <f aca="false">IF(Obj_FeuchteKeller="Ja",Obj_Umfang,0)</f>
        <v>0</v>
      </c>
      <c r="G85" s="15"/>
      <c r="H85" s="18" t="n">
        <f aca="false">IF($G85="",$F85,$G85)</f>
        <v>0</v>
      </c>
      <c r="I85" s="28" t="n">
        <f aca="false">INDEX(02_Massnahmenkatalog!$F:$F,MATCH($B85,02_Massnahmenkatalog!$B:$B,0))</f>
        <v>300</v>
      </c>
      <c r="J85" s="20" t="n">
        <f aca="false">$H85*$I85</f>
        <v>0</v>
      </c>
      <c r="K85" s="26" t="str">
        <f aca="false">INDEX(02_Massnahmenkatalog!$H:$H,MATCH($B85,02_Massnahmenkatalog!$B:$B,0))</f>
        <v>Nein</v>
      </c>
      <c r="L85" s="15"/>
      <c r="M85" s="15" t="n">
        <v>3</v>
      </c>
      <c r="N85" s="26" t="n">
        <f aca="false">INDEX(02_Massnahmenkatalog!$G:$G,MATCH($B85,02_Massnahmenkatalog!$B:$B,0))</f>
        <v>0</v>
      </c>
      <c r="O85" s="29" t="n">
        <f aca="false">INDEX(04_Nutzungsdauern!$C:$C,MATCH($M85,04_Nutzungsdauern!$B:$B,0))</f>
        <v>0.7</v>
      </c>
      <c r="P85" s="18" t="n">
        <f aca="false">$N85*$O85-(A_Jahr-IF($L85="",Obj_Baujahr,$L85))</f>
        <v>-48</v>
      </c>
      <c r="Q85" s="18" t="n">
        <f aca="false">A_Jahr+MAX(0,$P85)</f>
        <v>2026</v>
      </c>
      <c r="R85" s="15" t="s">
        <v>601</v>
      </c>
      <c r="S85" s="18" t="str">
        <f aca="false">IF($R85="Automatik",IF($Q85&lt;=A_Jahr+A_Horizont,"JA","NEIN"),IF(OR($R85="Sofort",$R85="In Horizont"),"JA","NEIN"))</f>
        <v>JA</v>
      </c>
      <c r="T85" s="16" t="n">
        <v>0</v>
      </c>
      <c r="U85" s="20" t="n">
        <f aca="false">IF(AND($K85="Ja",$S85="JA"),$J85*(1-$T85),0)</f>
        <v>0</v>
      </c>
      <c r="V85" s="30" t="str">
        <f aca="false">IF(AND($S85="NEIN",OR(AND(Obj_Zielstandard="EH 55 EE",$X85="Ja"),AND(Obj_Zielstandard="EH 40 EE",$Y85="Ja"))),"Pflicht bei Zielstandard, aber nicht aufgenommen","")</f>
        <v/>
      </c>
      <c r="W85" s="15"/>
      <c r="X85" s="26" t="str">
        <f aca="false">INDEX(02_Massnahmenkatalog!$J:$J,MATCH($B85,02_Massnahmenkatalog!$B:$B,0))</f>
        <v>Nein</v>
      </c>
      <c r="Y85" s="26" t="str">
        <f aca="false">INDEX(02_Massnahmenkatalog!$K:$K,MATCH($B85,02_Massnahmenkatalog!$B:$B,0))</f>
        <v>Nein</v>
      </c>
    </row>
    <row r="86" customFormat="false" ht="68.65" hidden="false" customHeight="false" outlineLevel="0" collapsed="false">
      <c r="B86" s="18" t="s">
        <v>353</v>
      </c>
      <c r="C86" s="26" t="str">
        <f aca="false">INDEX(02_Massnahmenkatalog!$C:$C,MATCH($B86,02_Massnahmenkatalog!$B:$B,0))</f>
        <v>Risiko/Schadstoff</v>
      </c>
      <c r="D86" s="27" t="str">
        <f aca="false">INDEX(02_Massnahmenkatalog!$D:$D,MATCH($B86,02_Massnahmenkatalog!$B:$B,0))</f>
        <v>Laboranalyse Asbestprobe + Dokumentation (§5a GefStoffV)</v>
      </c>
      <c r="E86" s="26" t="str">
        <f aca="false">INDEX(02_Massnahmenkatalog!$E:$E,MATCH($B86,02_Massnahmenkatalog!$B:$B,0))</f>
        <v>€ pauschal</v>
      </c>
      <c r="F86" s="18" t="n">
        <f aca="false">IF(Obj_Baujahr&lt;1994,1,0)</f>
        <v>1</v>
      </c>
      <c r="G86" s="15"/>
      <c r="H86" s="18" t="n">
        <f aca="false">IF($G86="",$F86,$G86)</f>
        <v>1</v>
      </c>
      <c r="I86" s="28" t="n">
        <f aca="false">INDEX(02_Massnahmenkatalog!$F:$F,MATCH($B86,02_Massnahmenkatalog!$B:$B,0))</f>
        <v>300</v>
      </c>
      <c r="J86" s="20" t="n">
        <f aca="false">$H86*$I86</f>
        <v>300</v>
      </c>
      <c r="K86" s="26" t="str">
        <f aca="false">INDEX(02_Massnahmenkatalog!$H:$H,MATCH($B86,02_Massnahmenkatalog!$B:$B,0))</f>
        <v>Nein</v>
      </c>
      <c r="L86" s="15"/>
      <c r="M86" s="15" t="n">
        <v>3</v>
      </c>
      <c r="N86" s="26" t="n">
        <f aca="false">INDEX(02_Massnahmenkatalog!$G:$G,MATCH($B86,02_Massnahmenkatalog!$B:$B,0))</f>
        <v>0</v>
      </c>
      <c r="O86" s="29" t="n">
        <f aca="false">INDEX(04_Nutzungsdauern!$C:$C,MATCH($M86,04_Nutzungsdauern!$B:$B,0))</f>
        <v>0.7</v>
      </c>
      <c r="P86" s="18" t="n">
        <f aca="false">$N86*$O86-(A_Jahr-IF($L86="",Obj_Baujahr,$L86))</f>
        <v>-48</v>
      </c>
      <c r="Q86" s="18" t="n">
        <f aca="false">A_Jahr+MAX(0,$P86)</f>
        <v>2026</v>
      </c>
      <c r="R86" s="15" t="s">
        <v>601</v>
      </c>
      <c r="S86" s="18" t="str">
        <f aca="false">IF($R86="Automatik",IF($Q86&lt;=A_Jahr+A_Horizont,"JA","NEIN"),IF(OR($R86="Sofort",$R86="In Horizont"),"JA","NEIN"))</f>
        <v>JA</v>
      </c>
      <c r="T86" s="16" t="n">
        <v>0</v>
      </c>
      <c r="U86" s="20" t="n">
        <f aca="false">IF(AND($K86="Ja",$S86="JA"),$J86*(1-$T86),0)</f>
        <v>0</v>
      </c>
      <c r="V86" s="30" t="str">
        <f aca="false">IF(AND($S86="NEIN",OR(AND(Obj_Zielstandard="EH 55 EE",$X86="Ja"),AND(Obj_Zielstandard="EH 40 EE",$Y86="Ja"))),"Pflicht bei Zielstandard, aber nicht aufgenommen","")</f>
        <v/>
      </c>
      <c r="W86" s="15"/>
      <c r="X86" s="26" t="str">
        <f aca="false">INDEX(02_Massnahmenkatalog!$J:$J,MATCH($B86,02_Massnahmenkatalog!$B:$B,0))</f>
        <v>Nein</v>
      </c>
      <c r="Y86" s="26" t="str">
        <f aca="false">INDEX(02_Massnahmenkatalog!$K:$K,MATCH($B86,02_Massnahmenkatalog!$B:$B,0))</f>
        <v>Nein</v>
      </c>
    </row>
    <row r="87" customFormat="false" ht="15" hidden="false" customHeight="false" outlineLevel="0" collapsed="false">
      <c r="B87" s="18" t="s">
        <v>356</v>
      </c>
      <c r="C87" s="26" t="str">
        <f aca="false">INDEX(02_Massnahmenkatalog!$C:$C,MATCH($B87,02_Massnahmenkatalog!$B:$B,0))</f>
        <v>Klimaneutralität</v>
      </c>
      <c r="D87" s="27" t="str">
        <f aca="false">INDEX(02_Massnahmenkatalog!$D:$D,MATCH($B87,02_Massnahmenkatalog!$B:$B,0))</f>
        <v>PV-Anlage</v>
      </c>
      <c r="E87" s="26" t="str">
        <f aca="false">INDEX(02_Massnahmenkatalog!$E:$E,MATCH($B87,02_Massnahmenkatalog!$B:$B,0))</f>
        <v>€/kWp (gestaffelt)</v>
      </c>
      <c r="F87" s="18" t="n">
        <f aca="false">Obj_PV_kWp</f>
        <v>7.68181818181818</v>
      </c>
      <c r="G87" s="15"/>
      <c r="H87" s="18" t="n">
        <f aca="false">IF($G87="",$F87,$G87)</f>
        <v>7.68181818181818</v>
      </c>
      <c r="I87" s="28" t="n">
        <f aca="false">LOOKUP($H87,05_Energiekennwerte!$B$19:$B$23,05_Energiekennwerte!$C$19:$C$23)</f>
        <v>1335</v>
      </c>
      <c r="J87" s="20" t="n">
        <f aca="false">$H87*$I87</f>
        <v>10255.2272727273</v>
      </c>
      <c r="K87" s="26" t="str">
        <f aca="false">INDEX(02_Massnahmenkatalog!$H:$H,MATCH($B87,02_Massnahmenkatalog!$B:$B,0))</f>
        <v>Nein</v>
      </c>
      <c r="L87" s="15"/>
      <c r="M87" s="15" t="n">
        <v>3</v>
      </c>
      <c r="N87" s="26" t="n">
        <f aca="false">INDEX(02_Massnahmenkatalog!$G:$G,MATCH($B87,02_Massnahmenkatalog!$B:$B,0))</f>
        <v>25</v>
      </c>
      <c r="O87" s="29" t="n">
        <f aca="false">INDEX(04_Nutzungsdauern!$C:$C,MATCH($M87,04_Nutzungsdauern!$B:$B,0))</f>
        <v>0.7</v>
      </c>
      <c r="P87" s="18" t="n">
        <f aca="false">$N87*$O87-(A_Jahr-IF($L87="",Obj_Baujahr,$L87))</f>
        <v>-30.5</v>
      </c>
      <c r="Q87" s="18" t="n">
        <f aca="false">A_Jahr+MAX(0,$P87)</f>
        <v>2026</v>
      </c>
      <c r="R87" s="15" t="s">
        <v>601</v>
      </c>
      <c r="S87" s="18" t="str">
        <f aca="false">IF($R87="Automatik",IF($Q87&lt;=A_Jahr+A_Horizont,"JA","NEIN"),IF(OR($R87="Sofort",$R87="In Horizont"),"JA","NEIN"))</f>
        <v>JA</v>
      </c>
      <c r="T87" s="16" t="n">
        <v>0</v>
      </c>
      <c r="U87" s="20" t="n">
        <f aca="false">IF(AND($K87="Ja",$S87="JA"),$J87*(1-$T87),0)</f>
        <v>0</v>
      </c>
      <c r="V87" s="30" t="str">
        <f aca="false">IF(AND($S87="NEIN",OR(AND(Obj_Zielstandard="EH 55 EE",$X87="Ja"),AND(Obj_Zielstandard="EH 40 EE",$Y87="Ja"))),"Pflicht bei Zielstandard, aber nicht aufgenommen","")</f>
        <v/>
      </c>
      <c r="W87" s="15"/>
      <c r="X87" s="26" t="str">
        <f aca="false">INDEX(02_Massnahmenkatalog!$J:$J,MATCH($B87,02_Massnahmenkatalog!$B:$B,0))</f>
        <v>Nein</v>
      </c>
      <c r="Y87" s="26" t="str">
        <f aca="false">INDEX(02_Massnahmenkatalog!$K:$K,MATCH($B87,02_Massnahmenkatalog!$B:$B,0))</f>
        <v>Nein</v>
      </c>
    </row>
    <row r="88" customFormat="false" ht="23.85" hidden="false" customHeight="false" outlineLevel="0" collapsed="false">
      <c r="B88" s="18" t="s">
        <v>361</v>
      </c>
      <c r="C88" s="26" t="str">
        <f aca="false">INDEX(02_Massnahmenkatalog!$C:$C,MATCH($B88,02_Massnahmenkatalog!$B:$B,0))</f>
        <v>Klimaneutralität</v>
      </c>
      <c r="D88" s="27" t="str">
        <f aca="false">INDEX(02_Massnahmenkatalog!$D:$D,MATCH($B88,02_Massnahmenkatalog!$B:$B,0))</f>
        <v>Batteriespeicher</v>
      </c>
      <c r="E88" s="26" t="str">
        <f aca="false">INDEX(02_Massnahmenkatalog!$E:$E,MATCH($B88,02_Massnahmenkatalog!$B:$B,0))</f>
        <v>€/kWh</v>
      </c>
      <c r="F88" s="18" t="n">
        <f aca="false">Obj_PV_SpeicherKWh</f>
        <v>7.68181818181818</v>
      </c>
      <c r="G88" s="15"/>
      <c r="H88" s="18" t="n">
        <f aca="false">IF($G88="",$F88,$G88)</f>
        <v>7.68181818181818</v>
      </c>
      <c r="I88" s="28" t="n">
        <f aca="false">INDEX(02_Massnahmenkatalog!$F:$F,MATCH($B88,02_Massnahmenkatalog!$B:$B,0))</f>
        <v>350</v>
      </c>
      <c r="J88" s="20" t="n">
        <f aca="false">$H88*$I88</f>
        <v>2688.63636363636</v>
      </c>
      <c r="K88" s="26" t="str">
        <f aca="false">INDEX(02_Massnahmenkatalog!$H:$H,MATCH($B88,02_Massnahmenkatalog!$B:$B,0))</f>
        <v>Nein</v>
      </c>
      <c r="L88" s="15"/>
      <c r="M88" s="15" t="n">
        <v>3</v>
      </c>
      <c r="N88" s="26" t="n">
        <f aca="false">INDEX(02_Massnahmenkatalog!$G:$G,MATCH($B88,02_Massnahmenkatalog!$B:$B,0))</f>
        <v>18</v>
      </c>
      <c r="O88" s="29" t="n">
        <f aca="false">INDEX(04_Nutzungsdauern!$C:$C,MATCH($M88,04_Nutzungsdauern!$B:$B,0))</f>
        <v>0.7</v>
      </c>
      <c r="P88" s="18" t="n">
        <f aca="false">$N88*$O88-(A_Jahr-IF($L88="",Obj_Baujahr,$L88))</f>
        <v>-35.4</v>
      </c>
      <c r="Q88" s="18" t="n">
        <f aca="false">A_Jahr+MAX(0,$P88)</f>
        <v>2026</v>
      </c>
      <c r="R88" s="15" t="s">
        <v>601</v>
      </c>
      <c r="S88" s="18" t="str">
        <f aca="false">IF($R88="Automatik",IF($Q88&lt;=A_Jahr+A_Horizont,"JA","NEIN"),IF(OR($R88="Sofort",$R88="In Horizont"),"JA","NEIN"))</f>
        <v>JA</v>
      </c>
      <c r="T88" s="16" t="n">
        <v>0</v>
      </c>
      <c r="U88" s="20" t="n">
        <f aca="false">IF(AND($K88="Ja",$S88="JA"),$J88*(1-$T88),0)</f>
        <v>0</v>
      </c>
      <c r="V88" s="30" t="str">
        <f aca="false">IF(AND($S88="NEIN",OR(AND(Obj_Zielstandard="EH 55 EE",$X88="Ja"),AND(Obj_Zielstandard="EH 40 EE",$Y88="Ja"))),"Pflicht bei Zielstandard, aber nicht aufgenommen","")</f>
        <v/>
      </c>
      <c r="W88" s="15"/>
      <c r="X88" s="26" t="str">
        <f aca="false">INDEX(02_Massnahmenkatalog!$J:$J,MATCH($B88,02_Massnahmenkatalog!$B:$B,0))</f>
        <v>Nein</v>
      </c>
      <c r="Y88" s="26" t="str">
        <f aca="false">INDEX(02_Massnahmenkatalog!$K:$K,MATCH($B88,02_Massnahmenkatalog!$B:$B,0))</f>
        <v>Nein</v>
      </c>
    </row>
    <row r="89" customFormat="false" ht="57.45" hidden="false" customHeight="false" outlineLevel="0" collapsed="false">
      <c r="B89" s="18" t="s">
        <v>364</v>
      </c>
      <c r="C89" s="26" t="str">
        <f aca="false">INDEX(02_Massnahmenkatalog!$C:$C,MATCH($B89,02_Massnahmenkatalog!$B:$B,0))</f>
        <v>Klimaneutralität</v>
      </c>
      <c r="D89" s="27" t="str">
        <f aca="false">INDEX(02_Massnahmenkatalog!$D:$D,MATCH($B89,02_Massnahmenkatalog!$B:$B,0))</f>
        <v>Energiemanagementsystem/Wechselrichter-Aufpreis</v>
      </c>
      <c r="E89" s="26" t="str">
        <f aca="false">INDEX(02_Massnahmenkatalog!$E:$E,MATCH($B89,02_Massnahmenkatalog!$B:$B,0))</f>
        <v>€ pauschal</v>
      </c>
      <c r="F89" s="18" t="n">
        <f aca="false">1</f>
        <v>1</v>
      </c>
      <c r="G89" s="15"/>
      <c r="H89" s="18" t="n">
        <f aca="false">IF($G89="",$F89,$G89)</f>
        <v>1</v>
      </c>
      <c r="I89" s="28" t="n">
        <f aca="false">INDEX(02_Massnahmenkatalog!$F:$F,MATCH($B89,02_Massnahmenkatalog!$B:$B,0))</f>
        <v>1500</v>
      </c>
      <c r="J89" s="20" t="n">
        <f aca="false">$H89*$I89</f>
        <v>1500</v>
      </c>
      <c r="K89" s="26" t="str">
        <f aca="false">INDEX(02_Massnahmenkatalog!$H:$H,MATCH($B89,02_Massnahmenkatalog!$B:$B,0))</f>
        <v>Ja</v>
      </c>
      <c r="L89" s="15"/>
      <c r="M89" s="15" t="n">
        <v>3</v>
      </c>
      <c r="N89" s="26" t="n">
        <f aca="false">INDEX(02_Massnahmenkatalog!$G:$G,MATCH($B89,02_Massnahmenkatalog!$B:$B,0))</f>
        <v>15</v>
      </c>
      <c r="O89" s="29" t="n">
        <f aca="false">INDEX(04_Nutzungsdauern!$C:$C,MATCH($M89,04_Nutzungsdauern!$B:$B,0))</f>
        <v>0.7</v>
      </c>
      <c r="P89" s="18" t="n">
        <f aca="false">$N89*$O89-(A_Jahr-IF($L89="",Obj_Baujahr,$L89))</f>
        <v>-37.5</v>
      </c>
      <c r="Q89" s="18" t="n">
        <f aca="false">A_Jahr+MAX(0,$P89)</f>
        <v>2026</v>
      </c>
      <c r="R89" s="15" t="s">
        <v>601</v>
      </c>
      <c r="S89" s="18" t="str">
        <f aca="false">IF($R89="Automatik",IF($Q89&lt;=A_Jahr+A_Horizont,"JA","NEIN"),IF(OR($R89="Sofort",$R89="In Horizont"),"JA","NEIN"))</f>
        <v>JA</v>
      </c>
      <c r="T89" s="16" t="n">
        <v>0</v>
      </c>
      <c r="U89" s="20" t="n">
        <f aca="false">IF(AND($K89="Ja",$S89="JA"),$J89*(1-$T89),0)</f>
        <v>1500</v>
      </c>
      <c r="V89" s="30" t="str">
        <f aca="false">IF(AND($S89="NEIN",OR(AND(Obj_Zielstandard="EH 55 EE",$X89="Ja"),AND(Obj_Zielstandard="EH 40 EE",$Y89="Ja"))),"Pflicht bei Zielstandard, aber nicht aufgenommen","")</f>
        <v/>
      </c>
      <c r="W89" s="15"/>
      <c r="X89" s="26" t="str">
        <f aca="false">INDEX(02_Massnahmenkatalog!$J:$J,MATCH($B89,02_Massnahmenkatalog!$B:$B,0))</f>
        <v>Nein</v>
      </c>
      <c r="Y89" s="26" t="str">
        <f aca="false">INDEX(02_Massnahmenkatalog!$K:$K,MATCH($B89,02_Massnahmenkatalog!$B:$B,0))</f>
        <v>Nein</v>
      </c>
    </row>
    <row r="90" customFormat="false" ht="35.05" hidden="false" customHeight="false" outlineLevel="0" collapsed="false">
      <c r="B90" s="18" t="s">
        <v>368</v>
      </c>
      <c r="C90" s="26" t="str">
        <f aca="false">INDEX(02_Massnahmenkatalog!$C:$C,MATCH($B90,02_Massnahmenkatalog!$B:$B,0))</f>
        <v>Klimaneutralität</v>
      </c>
      <c r="D90" s="27" t="str">
        <f aca="false">INDEX(02_Massnahmenkatalog!$D:$D,MATCH($B90,02_Massnahmenkatalog!$B:$B,0))</f>
        <v>Notstrom-/Ersatzstromfähigkeit</v>
      </c>
      <c r="E90" s="26" t="str">
        <f aca="false">INDEX(02_Massnahmenkatalog!$E:$E,MATCH($B90,02_Massnahmenkatalog!$B:$B,0))</f>
        <v>€ pauschal</v>
      </c>
      <c r="F90" s="18" t="n">
        <f aca="false">0</f>
        <v>0</v>
      </c>
      <c r="G90" s="15"/>
      <c r="H90" s="18" t="n">
        <f aca="false">IF($G90="",$F90,$G90)</f>
        <v>0</v>
      </c>
      <c r="I90" s="28" t="n">
        <f aca="false">INDEX(02_Massnahmenkatalog!$F:$F,MATCH($B90,02_Massnahmenkatalog!$B:$B,0))</f>
        <v>2500</v>
      </c>
      <c r="J90" s="20" t="n">
        <f aca="false">$H90*$I90</f>
        <v>0</v>
      </c>
      <c r="K90" s="26" t="str">
        <f aca="false">INDEX(02_Massnahmenkatalog!$H:$H,MATCH($B90,02_Massnahmenkatalog!$B:$B,0))</f>
        <v>Nein</v>
      </c>
      <c r="L90" s="15"/>
      <c r="M90" s="15" t="n">
        <v>3</v>
      </c>
      <c r="N90" s="26" t="n">
        <f aca="false">INDEX(02_Massnahmenkatalog!$G:$G,MATCH($B90,02_Massnahmenkatalog!$B:$B,0))</f>
        <v>15</v>
      </c>
      <c r="O90" s="29" t="n">
        <f aca="false">INDEX(04_Nutzungsdauern!$C:$C,MATCH($M90,04_Nutzungsdauern!$B:$B,0))</f>
        <v>0.7</v>
      </c>
      <c r="P90" s="18" t="n">
        <f aca="false">$N90*$O90-(A_Jahr-IF($L90="",Obj_Baujahr,$L90))</f>
        <v>-37.5</v>
      </c>
      <c r="Q90" s="18" t="n">
        <f aca="false">A_Jahr+MAX(0,$P90)</f>
        <v>2026</v>
      </c>
      <c r="R90" s="15" t="s">
        <v>601</v>
      </c>
      <c r="S90" s="18" t="str">
        <f aca="false">IF($R90="Automatik",IF($Q90&lt;=A_Jahr+A_Horizont,"JA","NEIN"),IF(OR($R90="Sofort",$R90="In Horizont"),"JA","NEIN"))</f>
        <v>JA</v>
      </c>
      <c r="T90" s="16" t="n">
        <v>0</v>
      </c>
      <c r="U90" s="20" t="n">
        <f aca="false">IF(AND($K90="Ja",$S90="JA"),$J90*(1-$T90),0)</f>
        <v>0</v>
      </c>
      <c r="V90" s="30" t="str">
        <f aca="false">IF(AND($S90="NEIN",OR(AND(Obj_Zielstandard="EH 55 EE",$X90="Ja"),AND(Obj_Zielstandard="EH 40 EE",$Y90="Ja"))),"Pflicht bei Zielstandard, aber nicht aufgenommen","")</f>
        <v/>
      </c>
      <c r="W90" s="15"/>
      <c r="X90" s="26" t="str">
        <f aca="false">INDEX(02_Massnahmenkatalog!$J:$J,MATCH($B90,02_Massnahmenkatalog!$B:$B,0))</f>
        <v>Nein</v>
      </c>
      <c r="Y90" s="26" t="str">
        <f aca="false">INDEX(02_Massnahmenkatalog!$K:$K,MATCH($B90,02_Massnahmenkatalog!$B:$B,0))</f>
        <v>Nein</v>
      </c>
    </row>
    <row r="91" customFormat="false" ht="68.65" hidden="false" customHeight="false" outlineLevel="0" collapsed="false">
      <c r="B91" s="18" t="s">
        <v>371</v>
      </c>
      <c r="C91" s="26" t="str">
        <f aca="false">INDEX(02_Massnahmenkatalog!$C:$C,MATCH($B91,02_Massnahmenkatalog!$B:$B,0))</f>
        <v>Smart Home</v>
      </c>
      <c r="D91" s="27" t="str">
        <f aca="false">INDEX(02_Massnahmenkatalog!$D:$D,MATCH($B91,02_Massnahmenkatalog!$B:$B,0))</f>
        <v>Stufe 1 – Netzwerk-Basis (CAT7, Patchfeld, PoE-Switch, APs)</v>
      </c>
      <c r="E91" s="26" t="str">
        <f aca="false">INDEX(02_Massnahmenkatalog!$E:$E,MATCH($B91,02_Massnahmenkatalog!$B:$B,0))</f>
        <v>€/Dose</v>
      </c>
      <c r="F91" s="18" t="n">
        <f aca="false">Obj_AnzRaeume*1.5</f>
        <v>10.5</v>
      </c>
      <c r="G91" s="15"/>
      <c r="H91" s="18" t="n">
        <f aca="false">IF($G91="",$F91,$G91)</f>
        <v>10.5</v>
      </c>
      <c r="I91" s="28" t="n">
        <f aca="false">INDEX(02_Massnahmenkatalog!$F:$F,MATCH($B91,02_Massnahmenkatalog!$B:$B,0))</f>
        <v>250</v>
      </c>
      <c r="J91" s="20" t="n">
        <f aca="false">$H91*$I91</f>
        <v>2625</v>
      </c>
      <c r="K91" s="26" t="str">
        <f aca="false">INDEX(02_Massnahmenkatalog!$H:$H,MATCH($B91,02_Massnahmenkatalog!$B:$B,0))</f>
        <v>Nein</v>
      </c>
      <c r="L91" s="15"/>
      <c r="M91" s="15" t="n">
        <v>3</v>
      </c>
      <c r="N91" s="26" t="n">
        <f aca="false">INDEX(02_Massnahmenkatalog!$G:$G,MATCH($B91,02_Massnahmenkatalog!$B:$B,0))</f>
        <v>25</v>
      </c>
      <c r="O91" s="29" t="n">
        <f aca="false">INDEX(04_Nutzungsdauern!$C:$C,MATCH($M91,04_Nutzungsdauern!$B:$B,0))</f>
        <v>0.7</v>
      </c>
      <c r="P91" s="18" t="n">
        <f aca="false">$N91*$O91-(A_Jahr-IF($L91="",Obj_Baujahr,$L91))</f>
        <v>-30.5</v>
      </c>
      <c r="Q91" s="18" t="n">
        <f aca="false">A_Jahr+MAX(0,$P91)</f>
        <v>2026</v>
      </c>
      <c r="R91" s="15" t="s">
        <v>601</v>
      </c>
      <c r="S91" s="18" t="str">
        <f aca="false">IF($R91="Automatik",IF($Q91&lt;=A_Jahr+A_Horizont,"JA","NEIN"),IF(OR($R91="Sofort",$R91="In Horizont"),"JA","NEIN"))</f>
        <v>JA</v>
      </c>
      <c r="T91" s="16" t="n">
        <v>0</v>
      </c>
      <c r="U91" s="20" t="n">
        <f aca="false">IF(AND($K91="Ja",$S91="JA"),$J91*(1-$T91),0)</f>
        <v>0</v>
      </c>
      <c r="V91" s="30" t="str">
        <f aca="false">IF(AND($S91="NEIN",OR(AND(Obj_Zielstandard="EH 55 EE",$X91="Ja"),AND(Obj_Zielstandard="EH 40 EE",$Y91="Ja"))),"Pflicht bei Zielstandard, aber nicht aufgenommen","")</f>
        <v/>
      </c>
      <c r="W91" s="15"/>
      <c r="X91" s="26" t="str">
        <f aca="false">INDEX(02_Massnahmenkatalog!$J:$J,MATCH($B91,02_Massnahmenkatalog!$B:$B,0))</f>
        <v>Nein</v>
      </c>
      <c r="Y91" s="26" t="str">
        <f aca="false">INDEX(02_Massnahmenkatalog!$K:$K,MATCH($B91,02_Massnahmenkatalog!$B:$B,0))</f>
        <v>Nein</v>
      </c>
    </row>
    <row r="92" customFormat="false" ht="57.45" hidden="false" customHeight="false" outlineLevel="0" collapsed="false">
      <c r="B92" s="18" t="s">
        <v>376</v>
      </c>
      <c r="C92" s="26" t="str">
        <f aca="false">INDEX(02_Massnahmenkatalog!$C:$C,MATCH($B92,02_Massnahmenkatalog!$B:$B,0))</f>
        <v>Smart Home</v>
      </c>
      <c r="D92" s="27" t="str">
        <f aca="false">INDEX(02_Massnahmenkatalog!$D:$D,MATCH($B92,02_Massnahmenkatalog!$B:$B,0))</f>
        <v>Stufe 2 – KNX Basis (Licht, Rollladen, Heizungsaktorik, Server)</v>
      </c>
      <c r="E92" s="26" t="str">
        <f aca="false">INDEX(02_Massnahmenkatalog!$E:$E,MATCH($B92,02_Massnahmenkatalog!$B:$B,0))</f>
        <v>€/m² WF</v>
      </c>
      <c r="F92" s="18" t="n">
        <f aca="false">0</f>
        <v>0</v>
      </c>
      <c r="G92" s="15"/>
      <c r="H92" s="18" t="n">
        <f aca="false">IF($G92="",$F92,$G92)</f>
        <v>0</v>
      </c>
      <c r="I92" s="28" t="n">
        <f aca="false">INDEX(02_Massnahmenkatalog!$F:$F,MATCH($B92,02_Massnahmenkatalog!$B:$B,0))</f>
        <v>130</v>
      </c>
      <c r="J92" s="20" t="n">
        <f aca="false">$H92*$I92</f>
        <v>0</v>
      </c>
      <c r="K92" s="26" t="str">
        <f aca="false">INDEX(02_Massnahmenkatalog!$H:$H,MATCH($B92,02_Massnahmenkatalog!$B:$B,0))</f>
        <v>Nein</v>
      </c>
      <c r="L92" s="15"/>
      <c r="M92" s="15" t="n">
        <v>3</v>
      </c>
      <c r="N92" s="26" t="n">
        <f aca="false">INDEX(02_Massnahmenkatalog!$G:$G,MATCH($B92,02_Massnahmenkatalog!$B:$B,0))</f>
        <v>25</v>
      </c>
      <c r="O92" s="29" t="n">
        <f aca="false">INDEX(04_Nutzungsdauern!$C:$C,MATCH($M92,04_Nutzungsdauern!$B:$B,0))</f>
        <v>0.7</v>
      </c>
      <c r="P92" s="18" t="n">
        <f aca="false">$N92*$O92-(A_Jahr-IF($L92="",Obj_Baujahr,$L92))</f>
        <v>-30.5</v>
      </c>
      <c r="Q92" s="18" t="n">
        <f aca="false">A_Jahr+MAX(0,$P92)</f>
        <v>2026</v>
      </c>
      <c r="R92" s="15" t="s">
        <v>601</v>
      </c>
      <c r="S92" s="18" t="str">
        <f aca="false">IF($R92="Automatik",IF($Q92&lt;=A_Jahr+A_Horizont,"JA","NEIN"),IF(OR($R92="Sofort",$R92="In Horizont"),"JA","NEIN"))</f>
        <v>JA</v>
      </c>
      <c r="T92" s="16" t="n">
        <v>0</v>
      </c>
      <c r="U92" s="20" t="n">
        <f aca="false">IF(AND($K92="Ja",$S92="JA"),$J92*(1-$T92),0)</f>
        <v>0</v>
      </c>
      <c r="V92" s="30" t="str">
        <f aca="false">IF(AND($S92="NEIN",OR(AND(Obj_Zielstandard="EH 55 EE",$X92="Ja"),AND(Obj_Zielstandard="EH 40 EE",$Y92="Ja"))),"Pflicht bei Zielstandard, aber nicht aufgenommen","")</f>
        <v/>
      </c>
      <c r="W92" s="15"/>
      <c r="X92" s="26" t="str">
        <f aca="false">INDEX(02_Massnahmenkatalog!$J:$J,MATCH($B92,02_Massnahmenkatalog!$B:$B,0))</f>
        <v>Nein</v>
      </c>
      <c r="Y92" s="26" t="str">
        <f aca="false">INDEX(02_Massnahmenkatalog!$K:$K,MATCH($B92,02_Massnahmenkatalog!$B:$B,0))</f>
        <v>Nein</v>
      </c>
    </row>
    <row r="93" customFormat="false" ht="46.25" hidden="false" customHeight="false" outlineLevel="0" collapsed="false">
      <c r="B93" s="18" t="s">
        <v>380</v>
      </c>
      <c r="C93" s="26" t="str">
        <f aca="false">INDEX(02_Massnahmenkatalog!$C:$C,MATCH($B93,02_Massnahmenkatalog!$B:$B,0))</f>
        <v>Smart Home</v>
      </c>
      <c r="D93" s="27" t="str">
        <f aca="false">INDEX(02_Massnahmenkatalog!$D:$D,MATCH($B93,02_Massnahmenkatalog!$B:$B,0))</f>
        <v>Stufe 3 – KNX Vollausbau (Aufschlag auf Stufe 2)</v>
      </c>
      <c r="E93" s="26" t="str">
        <f aca="false">INDEX(02_Massnahmenkatalog!$E:$E,MATCH($B93,02_Massnahmenkatalog!$B:$B,0))</f>
        <v>€/m² WF Aufschlag</v>
      </c>
      <c r="F93" s="18" t="n">
        <f aca="false">0</f>
        <v>0</v>
      </c>
      <c r="G93" s="15"/>
      <c r="H93" s="18" t="n">
        <f aca="false">IF($G93="",$F93,$G93)</f>
        <v>0</v>
      </c>
      <c r="I93" s="28" t="n">
        <f aca="false">INDEX(02_Massnahmenkatalog!$F:$F,MATCH($B93,02_Massnahmenkatalog!$B:$B,0))</f>
        <v>100</v>
      </c>
      <c r="J93" s="20" t="n">
        <f aca="false">$H93*$I93</f>
        <v>0</v>
      </c>
      <c r="K93" s="26" t="str">
        <f aca="false">INDEX(02_Massnahmenkatalog!$H:$H,MATCH($B93,02_Massnahmenkatalog!$B:$B,0))</f>
        <v>Nein</v>
      </c>
      <c r="L93" s="15"/>
      <c r="M93" s="15" t="n">
        <v>3</v>
      </c>
      <c r="N93" s="26" t="n">
        <f aca="false">INDEX(02_Massnahmenkatalog!$G:$G,MATCH($B93,02_Massnahmenkatalog!$B:$B,0))</f>
        <v>25</v>
      </c>
      <c r="O93" s="29" t="n">
        <f aca="false">INDEX(04_Nutzungsdauern!$C:$C,MATCH($M93,04_Nutzungsdauern!$B:$B,0))</f>
        <v>0.7</v>
      </c>
      <c r="P93" s="18" t="n">
        <f aca="false">$N93*$O93-(A_Jahr-IF($L93="",Obj_Baujahr,$L93))</f>
        <v>-30.5</v>
      </c>
      <c r="Q93" s="18" t="n">
        <f aca="false">A_Jahr+MAX(0,$P93)</f>
        <v>2026</v>
      </c>
      <c r="R93" s="15" t="s">
        <v>601</v>
      </c>
      <c r="S93" s="18" t="str">
        <f aca="false">IF($R93="Automatik",IF($Q93&lt;=A_Jahr+A_Horizont,"JA","NEIN"),IF(OR($R93="Sofort",$R93="In Horizont"),"JA","NEIN"))</f>
        <v>JA</v>
      </c>
      <c r="T93" s="16" t="n">
        <v>0</v>
      </c>
      <c r="U93" s="20" t="n">
        <f aca="false">IF(AND($K93="Ja",$S93="JA"),$J93*(1-$T93),0)</f>
        <v>0</v>
      </c>
      <c r="V93" s="30" t="str">
        <f aca="false">IF(AND($S93="NEIN",OR(AND(Obj_Zielstandard="EH 55 EE",$X93="Ja"),AND(Obj_Zielstandard="EH 40 EE",$Y93="Ja"))),"Pflicht bei Zielstandard, aber nicht aufgenommen","")</f>
        <v/>
      </c>
      <c r="W93" s="15"/>
      <c r="X93" s="26" t="str">
        <f aca="false">INDEX(02_Massnahmenkatalog!$J:$J,MATCH($B93,02_Massnahmenkatalog!$B:$B,0))</f>
        <v>Nein</v>
      </c>
      <c r="Y93" s="26" t="str">
        <f aca="false">INDEX(02_Massnahmenkatalog!$K:$K,MATCH($B93,02_Massnahmenkatalog!$B:$B,0))</f>
        <v>Nein</v>
      </c>
    </row>
    <row r="94" customFormat="false" ht="23.85" hidden="false" customHeight="false" outlineLevel="0" collapsed="false">
      <c r="B94" s="18" t="s">
        <v>385</v>
      </c>
      <c r="C94" s="26" t="str">
        <f aca="false">INDEX(02_Massnahmenkatalog!$C:$C,MATCH($B94,02_Massnahmenkatalog!$B:$B,0))</f>
        <v>Außenanlagen</v>
      </c>
      <c r="D94" s="27" t="str">
        <f aca="false">INDEX(02_Massnahmenkatalog!$D:$D,MATCH($B94,02_Massnahmenkatalog!$B:$B,0))</f>
        <v>Zufahrt pflastern</v>
      </c>
      <c r="E94" s="26" t="str">
        <f aca="false">INDEX(02_Massnahmenkatalog!$E:$E,MATCH($B94,02_Massnahmenkatalog!$B:$B,0))</f>
        <v>€/m²</v>
      </c>
      <c r="F94" s="18" t="n">
        <f aca="false">0</f>
        <v>0</v>
      </c>
      <c r="G94" s="15"/>
      <c r="H94" s="18" t="n">
        <f aca="false">IF($G94="",$F94,$G94)</f>
        <v>0</v>
      </c>
      <c r="I94" s="28" t="n">
        <f aca="false">INDEX(02_Massnahmenkatalog!$F:$F,MATCH($B94,02_Massnahmenkatalog!$B:$B,0))</f>
        <v>120</v>
      </c>
      <c r="J94" s="20" t="n">
        <f aca="false">$H94*$I94</f>
        <v>0</v>
      </c>
      <c r="K94" s="26" t="str">
        <f aca="false">INDEX(02_Massnahmenkatalog!$H:$H,MATCH($B94,02_Massnahmenkatalog!$B:$B,0))</f>
        <v>Nein</v>
      </c>
      <c r="L94" s="15"/>
      <c r="M94" s="15" t="n">
        <v>3</v>
      </c>
      <c r="N94" s="26" t="n">
        <f aca="false">INDEX(02_Massnahmenkatalog!$G:$G,MATCH($B94,02_Massnahmenkatalog!$B:$B,0))</f>
        <v>36</v>
      </c>
      <c r="O94" s="29" t="n">
        <f aca="false">INDEX(04_Nutzungsdauern!$C:$C,MATCH($M94,04_Nutzungsdauern!$B:$B,0))</f>
        <v>0.7</v>
      </c>
      <c r="P94" s="18" t="n">
        <f aca="false">$N94*$O94-(A_Jahr-IF($L94="",Obj_Baujahr,$L94))</f>
        <v>-22.8</v>
      </c>
      <c r="Q94" s="18" t="n">
        <f aca="false">A_Jahr+MAX(0,$P94)</f>
        <v>2026</v>
      </c>
      <c r="R94" s="15" t="s">
        <v>601</v>
      </c>
      <c r="S94" s="18" t="str">
        <f aca="false">IF($R94="Automatik",IF($Q94&lt;=A_Jahr+A_Horizont,"JA","NEIN"),IF(OR($R94="Sofort",$R94="In Horizont"),"JA","NEIN"))</f>
        <v>JA</v>
      </c>
      <c r="T94" s="16" t="n">
        <v>0</v>
      </c>
      <c r="U94" s="20" t="n">
        <f aca="false">IF(AND($K94="Ja",$S94="JA"),$J94*(1-$T94),0)</f>
        <v>0</v>
      </c>
      <c r="V94" s="30" t="str">
        <f aca="false">IF(AND($S94="NEIN",OR(AND(Obj_Zielstandard="EH 55 EE",$X94="Ja"),AND(Obj_Zielstandard="EH 40 EE",$Y94="Ja"))),"Pflicht bei Zielstandard, aber nicht aufgenommen","")</f>
        <v/>
      </c>
      <c r="W94" s="15"/>
      <c r="X94" s="26" t="str">
        <f aca="false">INDEX(02_Massnahmenkatalog!$J:$J,MATCH($B94,02_Massnahmenkatalog!$B:$B,0))</f>
        <v>Nein</v>
      </c>
      <c r="Y94" s="26" t="str">
        <f aca="false">INDEX(02_Massnahmenkatalog!$K:$K,MATCH($B94,02_Massnahmenkatalog!$B:$B,0))</f>
        <v>Nein</v>
      </c>
    </row>
    <row r="95" customFormat="false" ht="15" hidden="false" customHeight="false" outlineLevel="0" collapsed="false">
      <c r="B95" s="18" t="s">
        <v>388</v>
      </c>
      <c r="C95" s="26" t="str">
        <f aca="false">INDEX(02_Massnahmenkatalog!$C:$C,MATCH($B95,02_Massnahmenkatalog!$B:$B,0))</f>
        <v>Außenanlagen</v>
      </c>
      <c r="D95" s="27" t="str">
        <f aca="false">INDEX(02_Massnahmenkatalog!$D:$D,MATCH($B95,02_Massnahmenkatalog!$B:$B,0))</f>
        <v>Terrasse</v>
      </c>
      <c r="E95" s="26" t="str">
        <f aca="false">INDEX(02_Massnahmenkatalog!$E:$E,MATCH($B95,02_Massnahmenkatalog!$B:$B,0))</f>
        <v>€/m²</v>
      </c>
      <c r="F95" s="18" t="n">
        <f aca="false">0</f>
        <v>0</v>
      </c>
      <c r="G95" s="15"/>
      <c r="H95" s="18" t="n">
        <f aca="false">IF($G95="",$F95,$G95)</f>
        <v>0</v>
      </c>
      <c r="I95" s="28" t="n">
        <f aca="false">INDEX(02_Massnahmenkatalog!$F:$F,MATCH($B95,02_Massnahmenkatalog!$B:$B,0))</f>
        <v>110</v>
      </c>
      <c r="J95" s="20" t="n">
        <f aca="false">$H95*$I95</f>
        <v>0</v>
      </c>
      <c r="K95" s="26" t="str">
        <f aca="false">INDEX(02_Massnahmenkatalog!$H:$H,MATCH($B95,02_Massnahmenkatalog!$B:$B,0))</f>
        <v>Nein</v>
      </c>
      <c r="L95" s="15"/>
      <c r="M95" s="15" t="n">
        <v>3</v>
      </c>
      <c r="N95" s="26" t="n">
        <f aca="false">INDEX(02_Massnahmenkatalog!$G:$G,MATCH($B95,02_Massnahmenkatalog!$B:$B,0))</f>
        <v>30</v>
      </c>
      <c r="O95" s="29" t="n">
        <f aca="false">INDEX(04_Nutzungsdauern!$C:$C,MATCH($M95,04_Nutzungsdauern!$B:$B,0))</f>
        <v>0.7</v>
      </c>
      <c r="P95" s="18" t="n">
        <f aca="false">$N95*$O95-(A_Jahr-IF($L95="",Obj_Baujahr,$L95))</f>
        <v>-27</v>
      </c>
      <c r="Q95" s="18" t="n">
        <f aca="false">A_Jahr+MAX(0,$P95)</f>
        <v>2026</v>
      </c>
      <c r="R95" s="15" t="s">
        <v>601</v>
      </c>
      <c r="S95" s="18" t="str">
        <f aca="false">IF($R95="Automatik",IF($Q95&lt;=A_Jahr+A_Horizont,"JA","NEIN"),IF(OR($R95="Sofort",$R95="In Horizont"),"JA","NEIN"))</f>
        <v>JA</v>
      </c>
      <c r="T95" s="16" t="n">
        <v>0</v>
      </c>
      <c r="U95" s="20" t="n">
        <f aca="false">IF(AND($K95="Ja",$S95="JA"),$J95*(1-$T95),0)</f>
        <v>0</v>
      </c>
      <c r="V95" s="30" t="str">
        <f aca="false">IF(AND($S95="NEIN",OR(AND(Obj_Zielstandard="EH 55 EE",$X95="Ja"),AND(Obj_Zielstandard="EH 40 EE",$Y95="Ja"))),"Pflicht bei Zielstandard, aber nicht aufgenommen","")</f>
        <v/>
      </c>
      <c r="W95" s="15"/>
      <c r="X95" s="26" t="str">
        <f aca="false">INDEX(02_Massnahmenkatalog!$J:$J,MATCH($B95,02_Massnahmenkatalog!$B:$B,0))</f>
        <v>Nein</v>
      </c>
      <c r="Y95" s="26" t="str">
        <f aca="false">INDEX(02_Massnahmenkatalog!$K:$K,MATCH($B95,02_Massnahmenkatalog!$B:$B,0))</f>
        <v>Nein</v>
      </c>
    </row>
    <row r="96" customFormat="false" ht="15" hidden="false" customHeight="false" outlineLevel="0" collapsed="false">
      <c r="B96" s="18" t="s">
        <v>390</v>
      </c>
      <c r="C96" s="26" t="str">
        <f aca="false">INDEX(02_Massnahmenkatalog!$C:$C,MATCH($B96,02_Massnahmenkatalog!$B:$B,0))</f>
        <v>Außenanlagen</v>
      </c>
      <c r="D96" s="27" t="str">
        <f aca="false">INDEX(02_Massnahmenkatalog!$D:$D,MATCH($B96,02_Massnahmenkatalog!$B:$B,0))</f>
        <v>Zaun</v>
      </c>
      <c r="E96" s="26" t="str">
        <f aca="false">INDEX(02_Massnahmenkatalog!$E:$E,MATCH($B96,02_Massnahmenkatalog!$B:$B,0))</f>
        <v>€/lfm</v>
      </c>
      <c r="F96" s="18" t="n">
        <f aca="false">0</f>
        <v>0</v>
      </c>
      <c r="G96" s="15"/>
      <c r="H96" s="18" t="n">
        <f aca="false">IF($G96="",$F96,$G96)</f>
        <v>0</v>
      </c>
      <c r="I96" s="28" t="n">
        <f aca="false">INDEX(02_Massnahmenkatalog!$F:$F,MATCH($B96,02_Massnahmenkatalog!$B:$B,0))</f>
        <v>60</v>
      </c>
      <c r="J96" s="20" t="n">
        <f aca="false">$H96*$I96</f>
        <v>0</v>
      </c>
      <c r="K96" s="26" t="str">
        <f aca="false">INDEX(02_Massnahmenkatalog!$H:$H,MATCH($B96,02_Massnahmenkatalog!$B:$B,0))</f>
        <v>Nein</v>
      </c>
      <c r="L96" s="15"/>
      <c r="M96" s="15" t="n">
        <v>3</v>
      </c>
      <c r="N96" s="26" t="n">
        <f aca="false">INDEX(02_Massnahmenkatalog!$G:$G,MATCH($B96,02_Massnahmenkatalog!$B:$B,0))</f>
        <v>25</v>
      </c>
      <c r="O96" s="29" t="n">
        <f aca="false">INDEX(04_Nutzungsdauern!$C:$C,MATCH($M96,04_Nutzungsdauern!$B:$B,0))</f>
        <v>0.7</v>
      </c>
      <c r="P96" s="18" t="n">
        <f aca="false">$N96*$O96-(A_Jahr-IF($L96="",Obj_Baujahr,$L96))</f>
        <v>-30.5</v>
      </c>
      <c r="Q96" s="18" t="n">
        <f aca="false">A_Jahr+MAX(0,$P96)</f>
        <v>2026</v>
      </c>
      <c r="R96" s="15" t="s">
        <v>601</v>
      </c>
      <c r="S96" s="18" t="str">
        <f aca="false">IF($R96="Automatik",IF($Q96&lt;=A_Jahr+A_Horizont,"JA","NEIN"),IF(OR($R96="Sofort",$R96="In Horizont"),"JA","NEIN"))</f>
        <v>JA</v>
      </c>
      <c r="T96" s="16" t="n">
        <v>0</v>
      </c>
      <c r="U96" s="20" t="n">
        <f aca="false">IF(AND($K96="Ja",$S96="JA"),$J96*(1-$T96),0)</f>
        <v>0</v>
      </c>
      <c r="V96" s="30" t="str">
        <f aca="false">IF(AND($S96="NEIN",OR(AND(Obj_Zielstandard="EH 55 EE",$X96="Ja"),AND(Obj_Zielstandard="EH 40 EE",$Y96="Ja"))),"Pflicht bei Zielstandard, aber nicht aufgenommen","")</f>
        <v/>
      </c>
      <c r="W96" s="15"/>
      <c r="X96" s="26" t="str">
        <f aca="false">INDEX(02_Massnahmenkatalog!$J:$J,MATCH($B96,02_Massnahmenkatalog!$B:$B,0))</f>
        <v>Nein</v>
      </c>
      <c r="Y96" s="26" t="str">
        <f aca="false">INDEX(02_Massnahmenkatalog!$K:$K,MATCH($B96,02_Massnahmenkatalog!$B:$B,0))</f>
        <v>Nein</v>
      </c>
    </row>
    <row r="97" customFormat="false" ht="23.85" hidden="false" customHeight="false" outlineLevel="0" collapsed="false">
      <c r="B97" s="18" t="s">
        <v>393</v>
      </c>
      <c r="C97" s="26" t="str">
        <f aca="false">INDEX(02_Massnahmenkatalog!$C:$C,MATCH($B97,02_Massnahmenkatalog!$B:$B,0))</f>
        <v>Außenanlagen</v>
      </c>
      <c r="D97" s="27" t="str">
        <f aca="false">INDEX(02_Massnahmenkatalog!$D:$D,MATCH($B97,02_Massnahmenkatalog!$B:$B,0))</f>
        <v>Garage/Carport</v>
      </c>
      <c r="E97" s="26" t="str">
        <f aca="false">INDEX(02_Massnahmenkatalog!$E:$E,MATCH($B97,02_Massnahmenkatalog!$B:$B,0))</f>
        <v>€ pauschal</v>
      </c>
      <c r="F97" s="18" t="n">
        <f aca="false">0</f>
        <v>0</v>
      </c>
      <c r="G97" s="15"/>
      <c r="H97" s="18" t="n">
        <f aca="false">IF($G97="",$F97,$G97)</f>
        <v>0</v>
      </c>
      <c r="I97" s="28" t="n">
        <f aca="false">INDEX(02_Massnahmenkatalog!$F:$F,MATCH($B97,02_Massnahmenkatalog!$B:$B,0))</f>
        <v>11000</v>
      </c>
      <c r="J97" s="20" t="n">
        <f aca="false">$H97*$I97</f>
        <v>0</v>
      </c>
      <c r="K97" s="26" t="str">
        <f aca="false">INDEX(02_Massnahmenkatalog!$H:$H,MATCH($B97,02_Massnahmenkatalog!$B:$B,0))</f>
        <v>Nein</v>
      </c>
      <c r="L97" s="15"/>
      <c r="M97" s="15" t="n">
        <v>3</v>
      </c>
      <c r="N97" s="26" t="n">
        <f aca="false">INDEX(02_Massnahmenkatalog!$G:$G,MATCH($B97,02_Massnahmenkatalog!$B:$B,0))</f>
        <v>40</v>
      </c>
      <c r="O97" s="29" t="n">
        <f aca="false">INDEX(04_Nutzungsdauern!$C:$C,MATCH($M97,04_Nutzungsdauern!$B:$B,0))</f>
        <v>0.7</v>
      </c>
      <c r="P97" s="18" t="n">
        <f aca="false">$N97*$O97-(A_Jahr-IF($L97="",Obj_Baujahr,$L97))</f>
        <v>-20</v>
      </c>
      <c r="Q97" s="18" t="n">
        <f aca="false">A_Jahr+MAX(0,$P97)</f>
        <v>2026</v>
      </c>
      <c r="R97" s="15" t="s">
        <v>601</v>
      </c>
      <c r="S97" s="18" t="str">
        <f aca="false">IF($R97="Automatik",IF($Q97&lt;=A_Jahr+A_Horizont,"JA","NEIN"),IF(OR($R97="Sofort",$R97="In Horizont"),"JA","NEIN"))</f>
        <v>JA</v>
      </c>
      <c r="T97" s="16" t="n">
        <v>0</v>
      </c>
      <c r="U97" s="20" t="n">
        <f aca="false">IF(AND($K97="Ja",$S97="JA"),$J97*(1-$T97),0)</f>
        <v>0</v>
      </c>
      <c r="V97" s="30" t="str">
        <f aca="false">IF(AND($S97="NEIN",OR(AND(Obj_Zielstandard="EH 55 EE",$X97="Ja"),AND(Obj_Zielstandard="EH 40 EE",$Y97="Ja"))),"Pflicht bei Zielstandard, aber nicht aufgenommen","")</f>
        <v/>
      </c>
      <c r="W97" s="15"/>
      <c r="X97" s="26" t="str">
        <f aca="false">INDEX(02_Massnahmenkatalog!$J:$J,MATCH($B97,02_Massnahmenkatalog!$B:$B,0))</f>
        <v>Nein</v>
      </c>
      <c r="Y97" s="26" t="str">
        <f aca="false">INDEX(02_Massnahmenkatalog!$K:$K,MATCH($B97,02_Massnahmenkatalog!$B:$B,0))</f>
        <v>Nein</v>
      </c>
    </row>
    <row r="98" customFormat="false" ht="23.85" hidden="false" customHeight="false" outlineLevel="0" collapsed="false">
      <c r="B98" s="18" t="s">
        <v>395</v>
      </c>
      <c r="C98" s="26" t="str">
        <f aca="false">INDEX(02_Massnahmenkatalog!$C:$C,MATCH($B98,02_Massnahmenkatalog!$B:$B,0))</f>
        <v>Weiche Kosten</v>
      </c>
      <c r="D98" s="27" t="str">
        <f aca="false">INDEX(02_Massnahmenkatalog!$D:$D,MATCH($B98,02_Massnahmenkatalog!$B:$B,0))</f>
        <v>Energieberatung + iSFP</v>
      </c>
      <c r="E98" s="26" t="str">
        <f aca="false">INDEX(02_Massnahmenkatalog!$E:$E,MATCH($B98,02_Massnahmenkatalog!$B:$B,0))</f>
        <v>€ pauschal</v>
      </c>
      <c r="F98" s="18" t="n">
        <f aca="false">1</f>
        <v>1</v>
      </c>
      <c r="G98" s="15"/>
      <c r="H98" s="18" t="n">
        <f aca="false">IF($G98="",$F98,$G98)</f>
        <v>1</v>
      </c>
      <c r="I98" s="28" t="n">
        <f aca="false">INDEX(02_Massnahmenkatalog!$F:$F,MATCH($B98,02_Massnahmenkatalog!$B:$B,0))</f>
        <v>1650</v>
      </c>
      <c r="J98" s="20" t="n">
        <f aca="false">$H98*$I98</f>
        <v>1650</v>
      </c>
      <c r="K98" s="26" t="str">
        <f aca="false">INDEX(02_Massnahmenkatalog!$H:$H,MATCH($B98,02_Massnahmenkatalog!$B:$B,0))</f>
        <v>Ja</v>
      </c>
      <c r="L98" s="15"/>
      <c r="M98" s="15" t="n">
        <v>3</v>
      </c>
      <c r="N98" s="26" t="n">
        <f aca="false">INDEX(02_Massnahmenkatalog!$G:$G,MATCH($B98,02_Massnahmenkatalog!$B:$B,0))</f>
        <v>0</v>
      </c>
      <c r="O98" s="29" t="n">
        <f aca="false">INDEX(04_Nutzungsdauern!$C:$C,MATCH($M98,04_Nutzungsdauern!$B:$B,0))</f>
        <v>0.7</v>
      </c>
      <c r="P98" s="18" t="n">
        <f aca="false">$N98*$O98-(A_Jahr-IF($L98="",Obj_Baujahr,$L98))</f>
        <v>-48</v>
      </c>
      <c r="Q98" s="18" t="n">
        <f aca="false">A_Jahr+MAX(0,$P98)</f>
        <v>2026</v>
      </c>
      <c r="R98" s="15" t="s">
        <v>601</v>
      </c>
      <c r="S98" s="18" t="str">
        <f aca="false">IF($R98="Automatik",IF($Q98&lt;=A_Jahr+A_Horizont,"JA","NEIN"),IF(OR($R98="Sofort",$R98="In Horizont"),"JA","NEIN"))</f>
        <v>JA</v>
      </c>
      <c r="T98" s="16" t="n">
        <v>0</v>
      </c>
      <c r="U98" s="20" t="n">
        <f aca="false">IF(AND($K98="Ja",$S98="JA"),$J98*(1-$T98),0)</f>
        <v>1650</v>
      </c>
      <c r="V98" s="30" t="str">
        <f aca="false">IF(AND($S98="NEIN",OR(AND(Obj_Zielstandard="EH 55 EE",$X98="Ja"),AND(Obj_Zielstandard="EH 40 EE",$Y98="Ja"))),"Pflicht bei Zielstandard, aber nicht aufgenommen","")</f>
        <v/>
      </c>
      <c r="W98" s="15"/>
      <c r="X98" s="26" t="str">
        <f aca="false">INDEX(02_Massnahmenkatalog!$J:$J,MATCH($B98,02_Massnahmenkatalog!$B:$B,0))</f>
        <v>Ja</v>
      </c>
      <c r="Y98" s="26" t="str">
        <f aca="false">INDEX(02_Massnahmenkatalog!$K:$K,MATCH($B98,02_Massnahmenkatalog!$B:$B,0))</f>
        <v>Ja</v>
      </c>
    </row>
    <row r="99" customFormat="false" ht="57.45" hidden="false" customHeight="false" outlineLevel="0" collapsed="false">
      <c r="B99" s="18" t="s">
        <v>400</v>
      </c>
      <c r="C99" s="26" t="str">
        <f aca="false">INDEX(02_Massnahmenkatalog!$C:$C,MATCH($B99,02_Massnahmenkatalog!$B:$B,0))</f>
        <v>Weiche Kosten</v>
      </c>
      <c r="D99" s="27" t="str">
        <f aca="false">INDEX(02_Massnahmenkatalog!$D:$D,MATCH($B99,02_Massnahmenkatalog!$B:$B,0))</f>
        <v>Fachplanung/Baubegleitung (EEE, Pflicht bei BEG-Antrag)</v>
      </c>
      <c r="E99" s="26" t="str">
        <f aca="false">INDEX(02_Massnahmenkatalog!$E:$E,MATCH($B99,02_Massnahmenkatalog!$B:$B,0))</f>
        <v>% der Sanierungssumme</v>
      </c>
      <c r="F99" s="18" t="n">
        <f aca="false">1</f>
        <v>1</v>
      </c>
      <c r="G99" s="15"/>
      <c r="H99" s="18" t="n">
        <f aca="false">IF($G99="",$F99,$G99)</f>
        <v>1</v>
      </c>
      <c r="I99" s="28" t="n">
        <f aca="false">0.03*(SUMIFS($J$51:$J$101,$C$51:$C$101,"Hülle")+SUMIFS($J$51:$J$101,$C$51:$C$101,"Anlagentechnik"))</f>
        <v>5452.39058117839</v>
      </c>
      <c r="J99" s="20" t="n">
        <f aca="false">$H99*$I99</f>
        <v>5452.39058117839</v>
      </c>
      <c r="K99" s="26" t="str">
        <f aca="false">INDEX(02_Massnahmenkatalog!$H:$H,MATCH($B99,02_Massnahmenkatalog!$B:$B,0))</f>
        <v>Ja</v>
      </c>
      <c r="L99" s="15"/>
      <c r="M99" s="15" t="n">
        <v>3</v>
      </c>
      <c r="N99" s="26" t="n">
        <f aca="false">INDEX(02_Massnahmenkatalog!$G:$G,MATCH($B99,02_Massnahmenkatalog!$B:$B,0))</f>
        <v>0</v>
      </c>
      <c r="O99" s="29" t="n">
        <f aca="false">INDEX(04_Nutzungsdauern!$C:$C,MATCH($M99,04_Nutzungsdauern!$B:$B,0))</f>
        <v>0.7</v>
      </c>
      <c r="P99" s="18" t="n">
        <f aca="false">$N99*$O99-(A_Jahr-IF($L99="",Obj_Baujahr,$L99))</f>
        <v>-48</v>
      </c>
      <c r="Q99" s="18" t="n">
        <f aca="false">A_Jahr+MAX(0,$P99)</f>
        <v>2026</v>
      </c>
      <c r="R99" s="15" t="s">
        <v>601</v>
      </c>
      <c r="S99" s="18" t="str">
        <f aca="false">IF($R99="Automatik",IF($Q99&lt;=A_Jahr+A_Horizont,"JA","NEIN"),IF(OR($R99="Sofort",$R99="In Horizont"),"JA","NEIN"))</f>
        <v>JA</v>
      </c>
      <c r="T99" s="16" t="n">
        <v>0</v>
      </c>
      <c r="U99" s="20" t="n">
        <f aca="false">IF(AND($K99="Ja",$S99="JA"),$J99*(1-$T99),0)</f>
        <v>5452.39058117839</v>
      </c>
      <c r="V99" s="30" t="str">
        <f aca="false">IF(AND($S99="NEIN",OR(AND(Obj_Zielstandard="EH 55 EE",$X99="Ja"),AND(Obj_Zielstandard="EH 40 EE",$Y99="Ja"))),"Pflicht bei Zielstandard, aber nicht aufgenommen","")</f>
        <v/>
      </c>
      <c r="W99" s="15"/>
      <c r="X99" s="26" t="str">
        <f aca="false">INDEX(02_Massnahmenkatalog!$J:$J,MATCH($B99,02_Massnahmenkatalog!$B:$B,0))</f>
        <v>Ja</v>
      </c>
      <c r="Y99" s="26" t="str">
        <f aca="false">INDEX(02_Massnahmenkatalog!$K:$K,MATCH($B99,02_Massnahmenkatalog!$B:$B,0))</f>
        <v>Ja</v>
      </c>
    </row>
    <row r="100" customFormat="false" ht="57.45" hidden="false" customHeight="false" outlineLevel="0" collapsed="false">
      <c r="B100" s="18" t="s">
        <v>405</v>
      </c>
      <c r="C100" s="26" t="str">
        <f aca="false">INDEX(02_Massnahmenkatalog!$C:$C,MATCH($B100,02_Massnahmenkatalog!$B:$B,0))</f>
        <v>Weiche Kosten</v>
      </c>
      <c r="D100" s="27" t="str">
        <f aca="false">INDEX(02_Massnahmenkatalog!$D:$D,MATCH($B100,02_Massnahmenkatalog!$B:$B,0))</f>
        <v>Statiker (nur bei Grundrissänderung/Dachausbau)</v>
      </c>
      <c r="E100" s="26" t="str">
        <f aca="false">INDEX(02_Massnahmenkatalog!$E:$E,MATCH($B100,02_Massnahmenkatalog!$B:$B,0))</f>
        <v>€ pauschal</v>
      </c>
      <c r="F100" s="18" t="n">
        <f aca="false">0</f>
        <v>0</v>
      </c>
      <c r="G100" s="15"/>
      <c r="H100" s="18" t="n">
        <f aca="false">IF($G100="",$F100,$G100)</f>
        <v>0</v>
      </c>
      <c r="I100" s="28" t="n">
        <f aca="false">INDEX(02_Massnahmenkatalog!$F:$F,MATCH($B100,02_Massnahmenkatalog!$B:$B,0))</f>
        <v>1900</v>
      </c>
      <c r="J100" s="20" t="n">
        <f aca="false">$H100*$I100</f>
        <v>0</v>
      </c>
      <c r="K100" s="26" t="str">
        <f aca="false">INDEX(02_Massnahmenkatalog!$H:$H,MATCH($B100,02_Massnahmenkatalog!$B:$B,0))</f>
        <v>Nein</v>
      </c>
      <c r="L100" s="15"/>
      <c r="M100" s="15" t="n">
        <v>3</v>
      </c>
      <c r="N100" s="26" t="n">
        <f aca="false">INDEX(02_Massnahmenkatalog!$G:$G,MATCH($B100,02_Massnahmenkatalog!$B:$B,0))</f>
        <v>0</v>
      </c>
      <c r="O100" s="29" t="n">
        <f aca="false">INDEX(04_Nutzungsdauern!$C:$C,MATCH($M100,04_Nutzungsdauern!$B:$B,0))</f>
        <v>0.7</v>
      </c>
      <c r="P100" s="18" t="n">
        <f aca="false">$N100*$O100-(A_Jahr-IF($L100="",Obj_Baujahr,$L100))</f>
        <v>-48</v>
      </c>
      <c r="Q100" s="18" t="n">
        <f aca="false">A_Jahr+MAX(0,$P100)</f>
        <v>2026</v>
      </c>
      <c r="R100" s="15" t="s">
        <v>601</v>
      </c>
      <c r="S100" s="18" t="str">
        <f aca="false">IF($R100="Automatik",IF($Q100&lt;=A_Jahr+A_Horizont,"JA","NEIN"),IF(OR($R100="Sofort",$R100="In Horizont"),"JA","NEIN"))</f>
        <v>JA</v>
      </c>
      <c r="T100" s="16" t="n">
        <v>0</v>
      </c>
      <c r="U100" s="20" t="n">
        <f aca="false">IF(AND($K100="Ja",$S100="JA"),$J100*(1-$T100),0)</f>
        <v>0</v>
      </c>
      <c r="V100" s="30" t="str">
        <f aca="false">IF(AND($S100="NEIN",OR(AND(Obj_Zielstandard="EH 55 EE",$X100="Ja"),AND(Obj_Zielstandard="EH 40 EE",$Y100="Ja"))),"Pflicht bei Zielstandard, aber nicht aufgenommen","")</f>
        <v/>
      </c>
      <c r="W100" s="15"/>
      <c r="X100" s="26" t="str">
        <f aca="false">INDEX(02_Massnahmenkatalog!$J:$J,MATCH($B100,02_Massnahmenkatalog!$B:$B,0))</f>
        <v>Nein</v>
      </c>
      <c r="Y100" s="26" t="str">
        <f aca="false">INDEX(02_Massnahmenkatalog!$K:$K,MATCH($B100,02_Massnahmenkatalog!$B:$B,0))</f>
        <v>Nein</v>
      </c>
    </row>
    <row r="101" customFormat="false" ht="23.85" hidden="false" customHeight="false" outlineLevel="0" collapsed="false">
      <c r="B101" s="18" t="s">
        <v>407</v>
      </c>
      <c r="C101" s="26" t="str">
        <f aca="false">INDEX(02_Massnahmenkatalog!$C:$C,MATCH($B101,02_Massnahmenkatalog!$B:$B,0))</f>
        <v>Weiche Kosten</v>
      </c>
      <c r="D101" s="27" t="str">
        <f aca="false">INDEX(02_Massnahmenkatalog!$D:$D,MATCH($B101,02_Massnahmenkatalog!$B:$B,0))</f>
        <v>Bauantrag/Genehmigung</v>
      </c>
      <c r="E101" s="26" t="str">
        <f aca="false">INDEX(02_Massnahmenkatalog!$E:$E,MATCH($B101,02_Massnahmenkatalog!$B:$B,0))</f>
        <v>€ pauschal</v>
      </c>
      <c r="F101" s="18" t="n">
        <f aca="false">0</f>
        <v>0</v>
      </c>
      <c r="G101" s="15"/>
      <c r="H101" s="18" t="n">
        <f aca="false">IF($G101="",$F101,$G101)</f>
        <v>0</v>
      </c>
      <c r="I101" s="28" t="n">
        <f aca="false">INDEX(02_Massnahmenkatalog!$F:$F,MATCH($B101,02_Massnahmenkatalog!$B:$B,0))</f>
        <v>1700</v>
      </c>
      <c r="J101" s="20" t="n">
        <f aca="false">$H101*$I101</f>
        <v>0</v>
      </c>
      <c r="K101" s="26" t="str">
        <f aca="false">INDEX(02_Massnahmenkatalog!$H:$H,MATCH($B101,02_Massnahmenkatalog!$B:$B,0))</f>
        <v>Nein</v>
      </c>
      <c r="L101" s="15"/>
      <c r="M101" s="15" t="n">
        <v>3</v>
      </c>
      <c r="N101" s="26" t="n">
        <f aca="false">INDEX(02_Massnahmenkatalog!$G:$G,MATCH($B101,02_Massnahmenkatalog!$B:$B,0))</f>
        <v>0</v>
      </c>
      <c r="O101" s="29" t="n">
        <f aca="false">INDEX(04_Nutzungsdauern!$C:$C,MATCH($M101,04_Nutzungsdauern!$B:$B,0))</f>
        <v>0.7</v>
      </c>
      <c r="P101" s="18" t="n">
        <f aca="false">$N101*$O101-(A_Jahr-IF($L101="",Obj_Baujahr,$L101))</f>
        <v>-48</v>
      </c>
      <c r="Q101" s="18" t="n">
        <f aca="false">A_Jahr+MAX(0,$P101)</f>
        <v>2026</v>
      </c>
      <c r="R101" s="15" t="s">
        <v>601</v>
      </c>
      <c r="S101" s="18" t="str">
        <f aca="false">IF($R101="Automatik",IF($Q101&lt;=A_Jahr+A_Horizont,"JA","NEIN"),IF(OR($R101="Sofort",$R101="In Horizont"),"JA","NEIN"))</f>
        <v>JA</v>
      </c>
      <c r="T101" s="16" t="n">
        <v>0</v>
      </c>
      <c r="U101" s="20" t="n">
        <f aca="false">IF(AND($K101="Ja",$S101="JA"),$J101*(1-$T101),0)</f>
        <v>0</v>
      </c>
      <c r="V101" s="30" t="str">
        <f aca="false">IF(AND($S101="NEIN",OR(AND(Obj_Zielstandard="EH 55 EE",$X101="Ja"),AND(Obj_Zielstandard="EH 40 EE",$Y101="Ja"))),"Pflicht bei Zielstandard, aber nicht aufgenommen","")</f>
        <v/>
      </c>
      <c r="W101" s="15"/>
      <c r="X101" s="26" t="str">
        <f aca="false">INDEX(02_Massnahmenkatalog!$J:$J,MATCH($B101,02_Massnahmenkatalog!$B:$B,0))</f>
        <v>Nein</v>
      </c>
      <c r="Y101" s="26" t="str">
        <f aca="false">INDEX(02_Massnahmenkatalog!$K:$K,MATCH($B101,02_Massnahmenkatalog!$B:$B,0))</f>
        <v>Nein</v>
      </c>
    </row>
    <row r="103" customFormat="false" ht="15" hidden="false" customHeight="false" outlineLevel="0" collapsed="false">
      <c r="B103" s="14" t="s">
        <v>602</v>
      </c>
      <c r="C103" s="14"/>
      <c r="D103" s="14"/>
      <c r="E103" s="14"/>
    </row>
    <row r="104" customFormat="false" ht="23.85" hidden="false" customHeight="false" outlineLevel="0" collapsed="false">
      <c r="B104" s="11" t="s">
        <v>224</v>
      </c>
      <c r="C104" s="11" t="s">
        <v>603</v>
      </c>
      <c r="D104" s="11" t="s">
        <v>604</v>
      </c>
    </row>
    <row r="105" customFormat="false" ht="15" hidden="false" customHeight="false" outlineLevel="0" collapsed="false">
      <c r="B105" s="4" t="s">
        <v>235</v>
      </c>
      <c r="C105" s="31" t="n">
        <f aca="false">SUMIFS($J$51:$J$101,$C$51:$C$101,"Hülle",$S$51:$S$101,"JA")</f>
        <v>122416.352705946</v>
      </c>
      <c r="D105" s="31" t="n">
        <f aca="false">SUMIFS($U$51:$U$101,$C$51:$C$101,"Hülle",$S$51:$S$101,"JA")</f>
        <v>119716.352705946</v>
      </c>
    </row>
    <row r="106" customFormat="false" ht="15" hidden="false" customHeight="false" outlineLevel="0" collapsed="false">
      <c r="B106" s="4" t="s">
        <v>280</v>
      </c>
      <c r="C106" s="31" t="n">
        <f aca="false">SUMIFS($J$51:$J$101,$C$51:$C$101,"Anlagentechnik",$S$51:$S$101,"JA")</f>
        <v>59330</v>
      </c>
      <c r="D106" s="31" t="n">
        <f aca="false">SUMIFS($U$51:$U$101,$C$51:$C$101,"Anlagentechnik",$S$51:$S$101,"JA")</f>
        <v>53130</v>
      </c>
    </row>
    <row r="107" customFormat="false" ht="15" hidden="false" customHeight="false" outlineLevel="0" collapsed="false">
      <c r="B107" s="4" t="s">
        <v>307</v>
      </c>
      <c r="C107" s="31" t="n">
        <f aca="false">SUMIFS($J$51:$J$101,$C$51:$C$101,"Elektro/Innenausbau",$S$51:$S$101,"JA")</f>
        <v>103154.844032909</v>
      </c>
      <c r="D107" s="31" t="n">
        <f aca="false">SUMIFS($U$51:$U$101,$C$51:$C$101,"Elektro/Innenausbau",$S$51:$S$101,"JA")</f>
        <v>0</v>
      </c>
    </row>
    <row r="108" customFormat="false" ht="15" hidden="false" customHeight="false" outlineLevel="0" collapsed="false">
      <c r="B108" s="4" t="s">
        <v>337</v>
      </c>
      <c r="C108" s="31" t="n">
        <f aca="false">SUMIFS($J$51:$J$101,$C$51:$C$101,"Risiko/Schadstoff",$S$51:$S$101,"JA")</f>
        <v>5500</v>
      </c>
      <c r="D108" s="31" t="n">
        <f aca="false">SUMIFS($U$51:$U$101,$C$51:$C$101,"Risiko/Schadstoff",$S$51:$S$101,"JA")</f>
        <v>0</v>
      </c>
    </row>
    <row r="109" customFormat="false" ht="15" hidden="false" customHeight="false" outlineLevel="0" collapsed="false">
      <c r="B109" s="4" t="s">
        <v>232</v>
      </c>
      <c r="C109" s="31" t="n">
        <f aca="false">SUMIFS($J$51:$J$101,$C$51:$C$101,"Klimaneutralität",$S$51:$S$101,"JA")</f>
        <v>14443.8636363636</v>
      </c>
      <c r="D109" s="31" t="n">
        <f aca="false">SUMIFS($U$51:$U$101,$C$51:$C$101,"Klimaneutralität",$S$51:$S$101,"JA")</f>
        <v>1500</v>
      </c>
    </row>
    <row r="110" customFormat="false" ht="15" hidden="false" customHeight="false" outlineLevel="0" collapsed="false">
      <c r="B110" s="4" t="s">
        <v>372</v>
      </c>
      <c r="C110" s="31" t="n">
        <f aca="false">SUMIFS($J$51:$J$101,$C$51:$C$101,"Smart Home",$S$51:$S$101,"JA")</f>
        <v>2625</v>
      </c>
      <c r="D110" s="31" t="n">
        <f aca="false">SUMIFS($U$51:$U$101,$C$51:$C$101,"Smart Home",$S$51:$S$101,"JA")</f>
        <v>0</v>
      </c>
    </row>
    <row r="111" customFormat="false" ht="15" hidden="false" customHeight="false" outlineLevel="0" collapsed="false">
      <c r="B111" s="4" t="s">
        <v>386</v>
      </c>
      <c r="C111" s="31" t="n">
        <f aca="false">SUMIFS($J$51:$J$101,$C$51:$C$101,"Außenanlagen",$S$51:$S$101,"JA")</f>
        <v>0</v>
      </c>
      <c r="D111" s="31" t="n">
        <f aca="false">SUMIFS($U$51:$U$101,$C$51:$C$101,"Außenanlagen",$S$51:$S$101,"JA")</f>
        <v>0</v>
      </c>
    </row>
    <row r="112" customFormat="false" ht="15" hidden="false" customHeight="false" outlineLevel="0" collapsed="false">
      <c r="B112" s="4" t="s">
        <v>396</v>
      </c>
      <c r="C112" s="31" t="n">
        <f aca="false">SUMIFS($J$51:$J$101,$C$51:$C$101,"Weiche Kosten",$S$51:$S$101,"JA")</f>
        <v>7102.39058117839</v>
      </c>
      <c r="D112" s="31" t="n">
        <f aca="false">SUMIFS($U$51:$U$101,$C$51:$C$101,"Weiche Kosten",$S$51:$S$101,"JA")</f>
        <v>7102.39058117839</v>
      </c>
    </row>
    <row r="113" customFormat="false" ht="15" hidden="false" customHeight="false" outlineLevel="0" collapsed="false">
      <c r="B113" s="32" t="s">
        <v>605</v>
      </c>
      <c r="C113" s="33" t="n">
        <f aca="false">SUM(C105:C112)</f>
        <v>314572.450956397</v>
      </c>
      <c r="D113" s="33" t="n">
        <f aca="false">SUM(D105:D112)</f>
        <v>181448.743287125</v>
      </c>
    </row>
    <row r="115" customFormat="false" ht="15" hidden="false" customHeight="false" outlineLevel="0" collapsed="false">
      <c r="B115" s="4" t="s">
        <v>606</v>
      </c>
      <c r="C115" s="34" t="n">
        <f aca="false">SUMPRODUCT($J$51:$J$101,$T$51:$T$101)/MAX(C113,1)</f>
        <v>0</v>
      </c>
    </row>
  </sheetData>
  <autoFilter ref="B50:W101"/>
  <mergeCells count="4">
    <mergeCell ref="B3:E3"/>
    <mergeCell ref="B34:E34"/>
    <mergeCell ref="B49:U49"/>
    <mergeCell ref="B103:E103"/>
  </mergeCells>
  <conditionalFormatting sqref="S51:S101">
    <cfRule type="cellIs" priority="2" operator="equal" aboveAverage="0" equalAverage="0" bottom="0" percent="0" rank="0" text="" dxfId="9">
      <formula>"JA"</formula>
    </cfRule>
  </conditionalFormatting>
  <conditionalFormatting sqref="V51:V101">
    <cfRule type="expression" priority="3" aboveAverage="0" equalAverage="0" bottom="0" percent="0" rank="0" text="" dxfId="10">
      <formula>V51&lt;&gt;""</formula>
    </cfRule>
  </conditionalFormatting>
  <dataValidations count="113">
    <dataValidation allowBlank="true" errorStyle="stop" operator="between" showDropDown="false" showErrorMessage="false" showInputMessage="false" sqref="C14" type="list">
      <formula1>"Kein Keller,Teilkeller,Vollkeller"</formula1>
      <formula2>0</formula2>
    </dataValidation>
    <dataValidation allowBlank="true" errorStyle="stop" operator="between" showDropDown="false" showErrorMessage="false" showInputMessage="false" sqref="C15" type="list">
      <formula1>"Satteldach,Flachdach,Walmdach"</formula1>
      <formula2>0</formula2>
    </dataValidation>
    <dataValidation allowBlank="true" errorStyle="stop" operator="between" showDropDown="false" showErrorMessage="false" showInputMessage="false" sqref="C16" type="list">
      <formula1>"Ja,Nein"</formula1>
      <formula2>0</formula2>
    </dataValidation>
    <dataValidation allowBlank="true" errorStyle="stop" operator="between" showDropDown="false" showErrorMessage="false" showInputMessage="false" sqref="C18" type="list">
      <formula1>"Gasheizung,Ölheizung,Nachtspeicher,Fernwärme,Wärmepumpe,Sonstige"</formula1>
      <formula2>0</formula2>
    </dataValidation>
    <dataValidation allowBlank="true" errorStyle="stop" operator="between" showDropDown="false" showErrorMessage="false" showInputMessage="false" sqref="C20" type="list">
      <formula1>"Ja,Nein"</formula1>
      <formula2>0</formula2>
    </dataValidation>
    <dataValidation allowBlank="true" errorStyle="stop" operator="between" showDropDown="false" showErrorMessage="false" showInputMessage="false" sqref="C21" type="list">
      <formula1>"EH 55 EE,EH 40 EE,Nur Einzelmaßnahmen"</formula1>
      <formula2>0</formula2>
    </dataValidation>
    <dataValidation allowBlank="true" errorStyle="stop" operator="between" showDropDown="false" showErrorMessage="false" showInputMessage="false" sqref="C22" type="list">
      <formula1>"Ja,Nein"</formula1>
      <formula2>0</formula2>
    </dataValidation>
    <dataValidation allowBlank="true" errorStyle="stop" operator="between" showDropDown="false" showErrorMessage="false" showInputMessage="false" sqref="C23" type="list">
      <formula1>"Automatik (Empfehlung),Weg A (Effizienzhaus),Weg B (Einzelmaßnahmen)"</formula1>
      <formula2>0</formula2>
    </dataValidation>
    <dataValidation allowBlank="true" errorStyle="stop" operator="between" showDropDown="false" showErrorMessage="false" showInputMessage="false" sqref="C24" type="list">
      <formula1>"Ja,Nein"</formula1>
      <formula2>0</formula2>
    </dataValidation>
    <dataValidation allowBlank="true" errorStyle="stop" operator="between" showDropDown="false" showErrorMessage="false" showInputMessage="false" sqref="C28" type="list">
      <formula1>"Ja,Nein"</formula1>
      <formula2>0</formula2>
    </dataValidation>
    <dataValidation allowBlank="true" errorStyle="stop" operator="between" showDropDown="false" showErrorMessage="false" showInputMessage="false" sqref="C31" type="list">
      <formula1>"Süd,Ost-West"</formula1>
      <formula2>0</formula2>
    </dataValidation>
    <dataValidation allowBlank="true" errorStyle="stop" operator="between" showDropDown="false" showErrorMessage="false" showInputMessage="false" sqref="M51" type="list">
      <formula1>"1,2,3,4,5"</formula1>
      <formula2>0</formula2>
    </dataValidation>
    <dataValidation allowBlank="true" errorStyle="stop" operator="between" showDropDown="false" showErrorMessage="false" showInputMessage="false" sqref="R51" type="list">
      <formula1>"Automatik,Sofort,In Horizont,Später,Entfällt"</formula1>
      <formula2>0</formula2>
    </dataValidation>
    <dataValidation allowBlank="true" errorStyle="stop" operator="between" showDropDown="false" showErrorMessage="false" showInputMessage="false" sqref="M52" type="list">
      <formula1>"1,2,3,4,5"</formula1>
      <formula2>0</formula2>
    </dataValidation>
    <dataValidation allowBlank="true" errorStyle="stop" operator="between" showDropDown="false" showErrorMessage="false" showInputMessage="false" sqref="R52" type="list">
      <formula1>"Automatik,Sofort,In Horizont,Später,Entfällt"</formula1>
      <formula2>0</formula2>
    </dataValidation>
    <dataValidation allowBlank="true" errorStyle="stop" operator="between" showDropDown="false" showErrorMessage="false" showInputMessage="false" sqref="M53" type="list">
      <formula1>"1,2,3,4,5"</formula1>
      <formula2>0</formula2>
    </dataValidation>
    <dataValidation allowBlank="true" errorStyle="stop" operator="between" showDropDown="false" showErrorMessage="false" showInputMessage="false" sqref="R53" type="list">
      <formula1>"Automatik,Sofort,In Horizont,Später,Entfällt"</formula1>
      <formula2>0</formula2>
    </dataValidation>
    <dataValidation allowBlank="true" errorStyle="stop" operator="between" showDropDown="false" showErrorMessage="false" showInputMessage="false" sqref="M54" type="list">
      <formula1>"1,2,3,4,5"</formula1>
      <formula2>0</formula2>
    </dataValidation>
    <dataValidation allowBlank="true" errorStyle="stop" operator="between" showDropDown="false" showErrorMessage="false" showInputMessage="false" sqref="R54" type="list">
      <formula1>"Automatik,Sofort,In Horizont,Später,Entfällt"</formula1>
      <formula2>0</formula2>
    </dataValidation>
    <dataValidation allowBlank="true" errorStyle="stop" operator="between" showDropDown="false" showErrorMessage="false" showInputMessage="false" sqref="M55" type="list">
      <formula1>"1,2,3,4,5"</formula1>
      <formula2>0</formula2>
    </dataValidation>
    <dataValidation allowBlank="true" errorStyle="stop" operator="between" showDropDown="false" showErrorMessage="false" showInputMessage="false" sqref="R55" type="list">
      <formula1>"Automatik,Sofort,In Horizont,Später,Entfällt"</formula1>
      <formula2>0</formula2>
    </dataValidation>
    <dataValidation allowBlank="true" errorStyle="stop" operator="between" showDropDown="false" showErrorMessage="false" showInputMessage="false" sqref="M56" type="list">
      <formula1>"1,2,3,4,5"</formula1>
      <formula2>0</formula2>
    </dataValidation>
    <dataValidation allowBlank="true" errorStyle="stop" operator="between" showDropDown="false" showErrorMessage="false" showInputMessage="false" sqref="R56" type="list">
      <formula1>"Automatik,Sofort,In Horizont,Später,Entfällt"</formula1>
      <formula2>0</formula2>
    </dataValidation>
    <dataValidation allowBlank="true" errorStyle="stop" operator="between" showDropDown="false" showErrorMessage="false" showInputMessage="false" sqref="M57" type="list">
      <formula1>"1,2,3,4,5"</formula1>
      <formula2>0</formula2>
    </dataValidation>
    <dataValidation allowBlank="true" errorStyle="stop" operator="between" showDropDown="false" showErrorMessage="false" showInputMessage="false" sqref="R57" type="list">
      <formula1>"Automatik,Sofort,In Horizont,Später,Entfällt"</formula1>
      <formula2>0</formula2>
    </dataValidation>
    <dataValidation allowBlank="true" errorStyle="stop" operator="between" showDropDown="false" showErrorMessage="false" showInputMessage="false" sqref="M58" type="list">
      <formula1>"1,2,3,4,5"</formula1>
      <formula2>0</formula2>
    </dataValidation>
    <dataValidation allowBlank="true" errorStyle="stop" operator="between" showDropDown="false" showErrorMessage="false" showInputMessage="false" sqref="R58" type="list">
      <formula1>"Automatik,Sofort,In Horizont,Später,Entfällt"</formula1>
      <formula2>0</formula2>
    </dataValidation>
    <dataValidation allowBlank="true" errorStyle="stop" operator="between" showDropDown="false" showErrorMessage="false" showInputMessage="false" sqref="M59" type="list">
      <formula1>"1,2,3,4,5"</formula1>
      <formula2>0</formula2>
    </dataValidation>
    <dataValidation allowBlank="true" errorStyle="stop" operator="between" showDropDown="false" showErrorMessage="false" showInputMessage="false" sqref="R59" type="list">
      <formula1>"Automatik,Sofort,In Horizont,Später,Entfällt"</formula1>
      <formula2>0</formula2>
    </dataValidation>
    <dataValidation allowBlank="true" errorStyle="stop" operator="between" showDropDown="false" showErrorMessage="false" showInputMessage="false" sqref="M60" type="list">
      <formula1>"1,2,3,4,5"</formula1>
      <formula2>0</formula2>
    </dataValidation>
    <dataValidation allowBlank="true" errorStyle="stop" operator="between" showDropDown="false" showErrorMessage="false" showInputMessage="false" sqref="R60" type="list">
      <formula1>"Automatik,Sofort,In Horizont,Später,Entfällt"</formula1>
      <formula2>0</formula2>
    </dataValidation>
    <dataValidation allowBlank="true" errorStyle="stop" operator="between" showDropDown="false" showErrorMessage="false" showInputMessage="false" sqref="M61" type="list">
      <formula1>"1,2,3,4,5"</formula1>
      <formula2>0</formula2>
    </dataValidation>
    <dataValidation allowBlank="true" errorStyle="stop" operator="between" showDropDown="false" showErrorMessage="false" showInputMessage="false" sqref="R61" type="list">
      <formula1>"Automatik,Sofort,In Horizont,Später,Entfällt"</formula1>
      <formula2>0</formula2>
    </dataValidation>
    <dataValidation allowBlank="true" errorStyle="stop" operator="between" showDropDown="false" showErrorMessage="false" showInputMessage="false" sqref="M62" type="list">
      <formula1>"1,2,3,4,5"</formula1>
      <formula2>0</formula2>
    </dataValidation>
    <dataValidation allowBlank="true" errorStyle="stop" operator="between" showDropDown="false" showErrorMessage="false" showInputMessage="false" sqref="R62" type="list">
      <formula1>"Automatik,Sofort,In Horizont,Später,Entfällt"</formula1>
      <formula2>0</formula2>
    </dataValidation>
    <dataValidation allowBlank="true" errorStyle="stop" operator="between" showDropDown="false" showErrorMessage="false" showInputMessage="false" sqref="M63" type="list">
      <formula1>"1,2,3,4,5"</formula1>
      <formula2>0</formula2>
    </dataValidation>
    <dataValidation allowBlank="true" errorStyle="stop" operator="between" showDropDown="false" showErrorMessage="false" showInputMessage="false" sqref="R63" type="list">
      <formula1>"Automatik,Sofort,In Horizont,Später,Entfällt"</formula1>
      <formula2>0</formula2>
    </dataValidation>
    <dataValidation allowBlank="true" errorStyle="stop" operator="between" showDropDown="false" showErrorMessage="false" showInputMessage="false" sqref="M64" type="list">
      <formula1>"1,2,3,4,5"</formula1>
      <formula2>0</formula2>
    </dataValidation>
    <dataValidation allowBlank="true" errorStyle="stop" operator="between" showDropDown="false" showErrorMessage="false" showInputMessage="false" sqref="R64" type="list">
      <formula1>"Automatik,Sofort,In Horizont,Später,Entfällt"</formula1>
      <formula2>0</formula2>
    </dataValidation>
    <dataValidation allowBlank="true" errorStyle="stop" operator="between" showDropDown="false" showErrorMessage="false" showInputMessage="false" sqref="M65" type="list">
      <formula1>"1,2,3,4,5"</formula1>
      <formula2>0</formula2>
    </dataValidation>
    <dataValidation allowBlank="true" errorStyle="stop" operator="between" showDropDown="false" showErrorMessage="false" showInputMessage="false" sqref="R65" type="list">
      <formula1>"Automatik,Sofort,In Horizont,Später,Entfällt"</formula1>
      <formula2>0</formula2>
    </dataValidation>
    <dataValidation allowBlank="true" errorStyle="stop" operator="between" showDropDown="false" showErrorMessage="false" showInputMessage="false" sqref="M66" type="list">
      <formula1>"1,2,3,4,5"</formula1>
      <formula2>0</formula2>
    </dataValidation>
    <dataValidation allowBlank="true" errorStyle="stop" operator="between" showDropDown="false" showErrorMessage="false" showInputMessage="false" sqref="R66" type="list">
      <formula1>"Automatik,Sofort,In Horizont,Später,Entfällt"</formula1>
      <formula2>0</formula2>
    </dataValidation>
    <dataValidation allowBlank="true" errorStyle="stop" operator="between" showDropDown="false" showErrorMessage="false" showInputMessage="false" sqref="M67" type="list">
      <formula1>"1,2,3,4,5"</formula1>
      <formula2>0</formula2>
    </dataValidation>
    <dataValidation allowBlank="true" errorStyle="stop" operator="between" showDropDown="false" showErrorMessage="false" showInputMessage="false" sqref="R67" type="list">
      <formula1>"Automatik,Sofort,In Horizont,Später,Entfällt"</formula1>
      <formula2>0</formula2>
    </dataValidation>
    <dataValidation allowBlank="true" errorStyle="stop" operator="between" showDropDown="false" showErrorMessage="false" showInputMessage="false" sqref="M68" type="list">
      <formula1>"1,2,3,4,5"</formula1>
      <formula2>0</formula2>
    </dataValidation>
    <dataValidation allowBlank="true" errorStyle="stop" operator="between" showDropDown="false" showErrorMessage="false" showInputMessage="false" sqref="R68" type="list">
      <formula1>"Automatik,Sofort,In Horizont,Später,Entfällt"</formula1>
      <formula2>0</formula2>
    </dataValidation>
    <dataValidation allowBlank="true" errorStyle="stop" operator="between" showDropDown="false" showErrorMessage="false" showInputMessage="false" sqref="M69" type="list">
      <formula1>"1,2,3,4,5"</formula1>
      <formula2>0</formula2>
    </dataValidation>
    <dataValidation allowBlank="true" errorStyle="stop" operator="between" showDropDown="false" showErrorMessage="false" showInputMessage="false" sqref="R69" type="list">
      <formula1>"Automatik,Sofort,In Horizont,Später,Entfällt"</formula1>
      <formula2>0</formula2>
    </dataValidation>
    <dataValidation allowBlank="true" errorStyle="stop" operator="between" showDropDown="false" showErrorMessage="false" showInputMessage="false" sqref="M70" type="list">
      <formula1>"1,2,3,4,5"</formula1>
      <formula2>0</formula2>
    </dataValidation>
    <dataValidation allowBlank="true" errorStyle="stop" operator="between" showDropDown="false" showErrorMessage="false" showInputMessage="false" sqref="R70" type="list">
      <formula1>"Automatik,Sofort,In Horizont,Später,Entfällt"</formula1>
      <formula2>0</formula2>
    </dataValidation>
    <dataValidation allowBlank="true" errorStyle="stop" operator="between" showDropDown="false" showErrorMessage="false" showInputMessage="false" sqref="M71" type="list">
      <formula1>"1,2,3,4,5"</formula1>
      <formula2>0</formula2>
    </dataValidation>
    <dataValidation allowBlank="true" errorStyle="stop" operator="between" showDropDown="false" showErrorMessage="false" showInputMessage="false" sqref="R71" type="list">
      <formula1>"Automatik,Sofort,In Horizont,Später,Entfällt"</formula1>
      <formula2>0</formula2>
    </dataValidation>
    <dataValidation allowBlank="true" errorStyle="stop" operator="between" showDropDown="false" showErrorMessage="false" showInputMessage="false" sqref="M72" type="list">
      <formula1>"1,2,3,4,5"</formula1>
      <formula2>0</formula2>
    </dataValidation>
    <dataValidation allowBlank="true" errorStyle="stop" operator="between" showDropDown="false" showErrorMessage="false" showInputMessage="false" sqref="R72" type="list">
      <formula1>"Automatik,Sofort,In Horizont,Später,Entfällt"</formula1>
      <formula2>0</formula2>
    </dataValidation>
    <dataValidation allowBlank="true" errorStyle="stop" operator="between" showDropDown="false" showErrorMessage="false" showInputMessage="false" sqref="M73" type="list">
      <formula1>"1,2,3,4,5"</formula1>
      <formula2>0</formula2>
    </dataValidation>
    <dataValidation allowBlank="true" errorStyle="stop" operator="between" showDropDown="false" showErrorMessage="false" showInputMessage="false" sqref="R73" type="list">
      <formula1>"Automatik,Sofort,In Horizont,Später,Entfällt"</formula1>
      <formula2>0</formula2>
    </dataValidation>
    <dataValidation allowBlank="true" errorStyle="stop" operator="between" showDropDown="false" showErrorMessage="false" showInputMessage="false" sqref="M74" type="list">
      <formula1>"1,2,3,4,5"</formula1>
      <formula2>0</formula2>
    </dataValidation>
    <dataValidation allowBlank="true" errorStyle="stop" operator="between" showDropDown="false" showErrorMessage="false" showInputMessage="false" sqref="R74" type="list">
      <formula1>"Automatik,Sofort,In Horizont,Später,Entfällt"</formula1>
      <formula2>0</formula2>
    </dataValidation>
    <dataValidation allowBlank="true" errorStyle="stop" operator="between" showDropDown="false" showErrorMessage="false" showInputMessage="false" sqref="M75" type="list">
      <formula1>"1,2,3,4,5"</formula1>
      <formula2>0</formula2>
    </dataValidation>
    <dataValidation allowBlank="true" errorStyle="stop" operator="between" showDropDown="false" showErrorMessage="false" showInputMessage="false" sqref="R75" type="list">
      <formula1>"Automatik,Sofort,In Horizont,Später,Entfällt"</formula1>
      <formula2>0</formula2>
    </dataValidation>
    <dataValidation allowBlank="true" errorStyle="stop" operator="between" showDropDown="false" showErrorMessage="false" showInputMessage="false" sqref="M76" type="list">
      <formula1>"1,2,3,4,5"</formula1>
      <formula2>0</formula2>
    </dataValidation>
    <dataValidation allowBlank="true" errorStyle="stop" operator="between" showDropDown="false" showErrorMessage="false" showInputMessage="false" sqref="R76" type="list">
      <formula1>"Automatik,Sofort,In Horizont,Später,Entfällt"</formula1>
      <formula2>0</formula2>
    </dataValidation>
    <dataValidation allowBlank="true" errorStyle="stop" operator="between" showDropDown="false" showErrorMessage="false" showInputMessage="false" sqref="M77" type="list">
      <formula1>"1,2,3,4,5"</formula1>
      <formula2>0</formula2>
    </dataValidation>
    <dataValidation allowBlank="true" errorStyle="stop" operator="between" showDropDown="false" showErrorMessage="false" showInputMessage="false" sqref="R77" type="list">
      <formula1>"Automatik,Sofort,In Horizont,Später,Entfällt"</formula1>
      <formula2>0</formula2>
    </dataValidation>
    <dataValidation allowBlank="true" errorStyle="stop" operator="between" showDropDown="false" showErrorMessage="false" showInputMessage="false" sqref="M78" type="list">
      <formula1>"1,2,3,4,5"</formula1>
      <formula2>0</formula2>
    </dataValidation>
    <dataValidation allowBlank="true" errorStyle="stop" operator="between" showDropDown="false" showErrorMessage="false" showInputMessage="false" sqref="R78" type="list">
      <formula1>"Automatik,Sofort,In Horizont,Später,Entfällt"</formula1>
      <formula2>0</formula2>
    </dataValidation>
    <dataValidation allowBlank="true" errorStyle="stop" operator="between" showDropDown="false" showErrorMessage="false" showInputMessage="false" sqref="M79" type="list">
      <formula1>"1,2,3,4,5"</formula1>
      <formula2>0</formula2>
    </dataValidation>
    <dataValidation allowBlank="true" errorStyle="stop" operator="between" showDropDown="false" showErrorMessage="false" showInputMessage="false" sqref="R79" type="list">
      <formula1>"Automatik,Sofort,In Horizont,Später,Entfällt"</formula1>
      <formula2>0</formula2>
    </dataValidation>
    <dataValidation allowBlank="true" errorStyle="stop" operator="between" showDropDown="false" showErrorMessage="false" showInputMessage="false" sqref="M80" type="list">
      <formula1>"1,2,3,4,5"</formula1>
      <formula2>0</formula2>
    </dataValidation>
    <dataValidation allowBlank="true" errorStyle="stop" operator="between" showDropDown="false" showErrorMessage="false" showInputMessage="false" sqref="R80" type="list">
      <formula1>"Automatik,Sofort,In Horizont,Später,Entfällt"</formula1>
      <formula2>0</formula2>
    </dataValidation>
    <dataValidation allowBlank="true" errorStyle="stop" operator="between" showDropDown="false" showErrorMessage="false" showInputMessage="false" sqref="M81" type="list">
      <formula1>"1,2,3,4,5"</formula1>
      <formula2>0</formula2>
    </dataValidation>
    <dataValidation allowBlank="true" errorStyle="stop" operator="between" showDropDown="false" showErrorMessage="false" showInputMessage="false" sqref="R81" type="list">
      <formula1>"Automatik,Sofort,In Horizont,Später,Entfällt"</formula1>
      <formula2>0</formula2>
    </dataValidation>
    <dataValidation allowBlank="true" errorStyle="stop" operator="between" showDropDown="false" showErrorMessage="false" showInputMessage="false" sqref="M82" type="list">
      <formula1>"1,2,3,4,5"</formula1>
      <formula2>0</formula2>
    </dataValidation>
    <dataValidation allowBlank="true" errorStyle="stop" operator="between" showDropDown="false" showErrorMessage="false" showInputMessage="false" sqref="R82" type="list">
      <formula1>"Automatik,Sofort,In Horizont,Später,Entfällt"</formula1>
      <formula2>0</formula2>
    </dataValidation>
    <dataValidation allowBlank="true" errorStyle="stop" operator="between" showDropDown="false" showErrorMessage="false" showInputMessage="false" sqref="M83" type="list">
      <formula1>"1,2,3,4,5"</formula1>
      <formula2>0</formula2>
    </dataValidation>
    <dataValidation allowBlank="true" errorStyle="stop" operator="between" showDropDown="false" showErrorMessage="false" showInputMessage="false" sqref="R83" type="list">
      <formula1>"Automatik,Sofort,In Horizont,Später,Entfällt"</formula1>
      <formula2>0</formula2>
    </dataValidation>
    <dataValidation allowBlank="true" errorStyle="stop" operator="between" showDropDown="false" showErrorMessage="false" showInputMessage="false" sqref="M84" type="list">
      <formula1>"1,2,3,4,5"</formula1>
      <formula2>0</formula2>
    </dataValidation>
    <dataValidation allowBlank="true" errorStyle="stop" operator="between" showDropDown="false" showErrorMessage="false" showInputMessage="false" sqref="R84" type="list">
      <formula1>"Automatik,Sofort,In Horizont,Später,Entfällt"</formula1>
      <formula2>0</formula2>
    </dataValidation>
    <dataValidation allowBlank="true" errorStyle="stop" operator="between" showDropDown="false" showErrorMessage="false" showInputMessage="false" sqref="M85" type="list">
      <formula1>"1,2,3,4,5"</formula1>
      <formula2>0</formula2>
    </dataValidation>
    <dataValidation allowBlank="true" errorStyle="stop" operator="between" showDropDown="false" showErrorMessage="false" showInputMessage="false" sqref="R85" type="list">
      <formula1>"Automatik,Sofort,In Horizont,Später,Entfällt"</formula1>
      <formula2>0</formula2>
    </dataValidation>
    <dataValidation allowBlank="true" errorStyle="stop" operator="between" showDropDown="false" showErrorMessage="false" showInputMessage="false" sqref="M86" type="list">
      <formula1>"1,2,3,4,5"</formula1>
      <formula2>0</formula2>
    </dataValidation>
    <dataValidation allowBlank="true" errorStyle="stop" operator="between" showDropDown="false" showErrorMessage="false" showInputMessage="false" sqref="R86" type="list">
      <formula1>"Automatik,Sofort,In Horizont,Später,Entfällt"</formula1>
      <formula2>0</formula2>
    </dataValidation>
    <dataValidation allowBlank="true" errorStyle="stop" operator="between" showDropDown="false" showErrorMessage="false" showInputMessage="false" sqref="M87" type="list">
      <formula1>"1,2,3,4,5"</formula1>
      <formula2>0</formula2>
    </dataValidation>
    <dataValidation allowBlank="true" errorStyle="stop" operator="between" showDropDown="false" showErrorMessage="false" showInputMessage="false" sqref="R87" type="list">
      <formula1>"Automatik,Sofort,In Horizont,Später,Entfällt"</formula1>
      <formula2>0</formula2>
    </dataValidation>
    <dataValidation allowBlank="true" errorStyle="stop" operator="between" showDropDown="false" showErrorMessage="false" showInputMessage="false" sqref="M88" type="list">
      <formula1>"1,2,3,4,5"</formula1>
      <formula2>0</formula2>
    </dataValidation>
    <dataValidation allowBlank="true" errorStyle="stop" operator="between" showDropDown="false" showErrorMessage="false" showInputMessage="false" sqref="R88" type="list">
      <formula1>"Automatik,Sofort,In Horizont,Später,Entfällt"</formula1>
      <formula2>0</formula2>
    </dataValidation>
    <dataValidation allowBlank="true" errorStyle="stop" operator="between" showDropDown="false" showErrorMessage="false" showInputMessage="false" sqref="M89" type="list">
      <formula1>"1,2,3,4,5"</formula1>
      <formula2>0</formula2>
    </dataValidation>
    <dataValidation allowBlank="true" errorStyle="stop" operator="between" showDropDown="false" showErrorMessage="false" showInputMessage="false" sqref="R89" type="list">
      <formula1>"Automatik,Sofort,In Horizont,Später,Entfällt"</formula1>
      <formula2>0</formula2>
    </dataValidation>
    <dataValidation allowBlank="true" errorStyle="stop" operator="between" showDropDown="false" showErrorMessage="false" showInputMessage="false" sqref="M90" type="list">
      <formula1>"1,2,3,4,5"</formula1>
      <formula2>0</formula2>
    </dataValidation>
    <dataValidation allowBlank="true" errorStyle="stop" operator="between" showDropDown="false" showErrorMessage="false" showInputMessage="false" sqref="R90" type="list">
      <formula1>"Automatik,Sofort,In Horizont,Später,Entfällt"</formula1>
      <formula2>0</formula2>
    </dataValidation>
    <dataValidation allowBlank="true" errorStyle="stop" operator="between" showDropDown="false" showErrorMessage="false" showInputMessage="false" sqref="M91" type="list">
      <formula1>"1,2,3,4,5"</formula1>
      <formula2>0</formula2>
    </dataValidation>
    <dataValidation allowBlank="true" errorStyle="stop" operator="between" showDropDown="false" showErrorMessage="false" showInputMessage="false" sqref="R91" type="list">
      <formula1>"Automatik,Sofort,In Horizont,Später,Entfällt"</formula1>
      <formula2>0</formula2>
    </dataValidation>
    <dataValidation allowBlank="true" errorStyle="stop" operator="between" showDropDown="false" showErrorMessage="false" showInputMessage="false" sqref="M92" type="list">
      <formula1>"1,2,3,4,5"</formula1>
      <formula2>0</formula2>
    </dataValidation>
    <dataValidation allowBlank="true" errorStyle="stop" operator="between" showDropDown="false" showErrorMessage="false" showInputMessage="false" sqref="R92" type="list">
      <formula1>"Automatik,Sofort,In Horizont,Später,Entfällt"</formula1>
      <formula2>0</formula2>
    </dataValidation>
    <dataValidation allowBlank="true" errorStyle="stop" operator="between" showDropDown="false" showErrorMessage="false" showInputMessage="false" sqref="M93" type="list">
      <formula1>"1,2,3,4,5"</formula1>
      <formula2>0</formula2>
    </dataValidation>
    <dataValidation allowBlank="true" errorStyle="stop" operator="between" showDropDown="false" showErrorMessage="false" showInputMessage="false" sqref="R93" type="list">
      <formula1>"Automatik,Sofort,In Horizont,Später,Entfällt"</formula1>
      <formula2>0</formula2>
    </dataValidation>
    <dataValidation allowBlank="true" errorStyle="stop" operator="between" showDropDown="false" showErrorMessage="false" showInputMessage="false" sqref="M94" type="list">
      <formula1>"1,2,3,4,5"</formula1>
      <formula2>0</formula2>
    </dataValidation>
    <dataValidation allowBlank="true" errorStyle="stop" operator="between" showDropDown="false" showErrorMessage="false" showInputMessage="false" sqref="R94" type="list">
      <formula1>"Automatik,Sofort,In Horizont,Später,Entfällt"</formula1>
      <formula2>0</formula2>
    </dataValidation>
    <dataValidation allowBlank="true" errorStyle="stop" operator="between" showDropDown="false" showErrorMessage="false" showInputMessage="false" sqref="M95" type="list">
      <formula1>"1,2,3,4,5"</formula1>
      <formula2>0</formula2>
    </dataValidation>
    <dataValidation allowBlank="true" errorStyle="stop" operator="between" showDropDown="false" showErrorMessage="false" showInputMessage="false" sqref="R95" type="list">
      <formula1>"Automatik,Sofort,In Horizont,Später,Entfällt"</formula1>
      <formula2>0</formula2>
    </dataValidation>
    <dataValidation allowBlank="true" errorStyle="stop" operator="between" showDropDown="false" showErrorMessage="false" showInputMessage="false" sqref="M96" type="list">
      <formula1>"1,2,3,4,5"</formula1>
      <formula2>0</formula2>
    </dataValidation>
    <dataValidation allowBlank="true" errorStyle="stop" operator="between" showDropDown="false" showErrorMessage="false" showInputMessage="false" sqref="R96" type="list">
      <formula1>"Automatik,Sofort,In Horizont,Später,Entfällt"</formula1>
      <formula2>0</formula2>
    </dataValidation>
    <dataValidation allowBlank="true" errorStyle="stop" operator="between" showDropDown="false" showErrorMessage="false" showInputMessage="false" sqref="M97" type="list">
      <formula1>"1,2,3,4,5"</formula1>
      <formula2>0</formula2>
    </dataValidation>
    <dataValidation allowBlank="true" errorStyle="stop" operator="between" showDropDown="false" showErrorMessage="false" showInputMessage="false" sqref="R97" type="list">
      <formula1>"Automatik,Sofort,In Horizont,Später,Entfällt"</formula1>
      <formula2>0</formula2>
    </dataValidation>
    <dataValidation allowBlank="true" errorStyle="stop" operator="between" showDropDown="false" showErrorMessage="false" showInputMessage="false" sqref="M98" type="list">
      <formula1>"1,2,3,4,5"</formula1>
      <formula2>0</formula2>
    </dataValidation>
    <dataValidation allowBlank="true" errorStyle="stop" operator="between" showDropDown="false" showErrorMessage="false" showInputMessage="false" sqref="R98" type="list">
      <formula1>"Automatik,Sofort,In Horizont,Später,Entfällt"</formula1>
      <formula2>0</formula2>
    </dataValidation>
    <dataValidation allowBlank="true" errorStyle="stop" operator="between" showDropDown="false" showErrorMessage="false" showInputMessage="false" sqref="M99" type="list">
      <formula1>"1,2,3,4,5"</formula1>
      <formula2>0</formula2>
    </dataValidation>
    <dataValidation allowBlank="true" errorStyle="stop" operator="between" showDropDown="false" showErrorMessage="false" showInputMessage="false" sqref="R99" type="list">
      <formula1>"Automatik,Sofort,In Horizont,Später,Entfällt"</formula1>
      <formula2>0</formula2>
    </dataValidation>
    <dataValidation allowBlank="true" errorStyle="stop" operator="between" showDropDown="false" showErrorMessage="false" showInputMessage="false" sqref="M100" type="list">
      <formula1>"1,2,3,4,5"</formula1>
      <formula2>0</formula2>
    </dataValidation>
    <dataValidation allowBlank="true" errorStyle="stop" operator="between" showDropDown="false" showErrorMessage="false" showInputMessage="false" sqref="R100" type="list">
      <formula1>"Automatik,Sofort,In Horizont,Später,Entfällt"</formula1>
      <formula2>0</formula2>
    </dataValidation>
    <dataValidation allowBlank="true" errorStyle="stop" operator="between" showDropDown="false" showErrorMessage="false" showInputMessage="false" sqref="M101" type="list">
      <formula1>"1,2,3,4,5"</formula1>
      <formula2>0</formula2>
    </dataValidation>
    <dataValidation allowBlank="true" errorStyle="stop" operator="between" showDropDown="false" showErrorMessage="false" showInputMessage="false" sqref="R101" type="list">
      <formula1>"Automatik,Sofort,In Horizont,Später,Entfällt"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20"/>
  </cols>
  <sheetData>
    <row r="1" customFormat="false" ht="17.35" hidden="false" customHeight="false" outlineLevel="0" collapsed="false">
      <c r="B1" s="1" t="s">
        <v>607</v>
      </c>
    </row>
    <row r="3" customFormat="false" ht="15" hidden="false" customHeight="false" outlineLevel="0" collapsed="false">
      <c r="B3" s="14" t="s">
        <v>608</v>
      </c>
      <c r="C3" s="14"/>
      <c r="D3" s="14"/>
      <c r="E3" s="14"/>
    </row>
    <row r="4" customFormat="false" ht="15" hidden="false" customHeight="false" outlineLevel="0" collapsed="false">
      <c r="B4" s="4" t="s">
        <v>529</v>
      </c>
      <c r="C4" s="13" t="n">
        <f aca="false">10_VORLAGE!$C$8</f>
        <v>285000</v>
      </c>
    </row>
    <row r="5" customFormat="false" ht="15" hidden="false" customHeight="false" outlineLevel="0" collapsed="false">
      <c r="B5" s="4" t="s">
        <v>609</v>
      </c>
      <c r="C5" s="31" t="n">
        <f aca="false">C4*A_GrESt</f>
        <v>18525</v>
      </c>
    </row>
    <row r="6" customFormat="false" ht="15" hidden="false" customHeight="false" outlineLevel="0" collapsed="false">
      <c r="B6" s="4" t="s">
        <v>610</v>
      </c>
      <c r="C6" s="31" t="n">
        <f aca="false">C4*A_Notar</f>
        <v>5130</v>
      </c>
    </row>
    <row r="7" customFormat="false" ht="15" hidden="false" customHeight="false" outlineLevel="0" collapsed="false">
      <c r="B7" s="4" t="s">
        <v>611</v>
      </c>
      <c r="C7" s="31" t="n">
        <f aca="false">IF(10_VORLAGE!$C$24="Ja",C4*A_Makler,0)</f>
        <v>10174.5</v>
      </c>
    </row>
    <row r="8" customFormat="false" ht="15" hidden="false" customHeight="false" outlineLevel="0" collapsed="false">
      <c r="B8" s="32" t="s">
        <v>612</v>
      </c>
      <c r="C8" s="33" t="n">
        <f aca="false">SUM(C4:C7)</f>
        <v>318829.5</v>
      </c>
    </row>
    <row r="10" customFormat="false" ht="15" hidden="false" customHeight="false" outlineLevel="0" collapsed="false">
      <c r="B10" s="14" t="s">
        <v>613</v>
      </c>
      <c r="C10" s="14"/>
      <c r="D10" s="14"/>
      <c r="E10" s="14"/>
    </row>
    <row r="11" customFormat="false" ht="15" hidden="false" customHeight="false" outlineLevel="0" collapsed="false">
      <c r="B11" s="4" t="s">
        <v>614</v>
      </c>
      <c r="C11" s="13" t="n">
        <f aca="false">10_VORLAGE!$C$113</f>
        <v>314572.450956397</v>
      </c>
    </row>
    <row r="12" customFormat="false" ht="15" hidden="false" customHeight="false" outlineLevel="0" collapsed="false">
      <c r="B12" s="4" t="s">
        <v>615</v>
      </c>
      <c r="C12" s="31" t="n">
        <f aca="false">C11*A_Puffer</f>
        <v>37748.6941147676</v>
      </c>
    </row>
    <row r="13" customFormat="false" ht="15" hidden="false" customHeight="false" outlineLevel="0" collapsed="false">
      <c r="B13" s="32" t="s">
        <v>616</v>
      </c>
      <c r="C13" s="33" t="n">
        <f aca="false">C11+C12</f>
        <v>352321.145071165</v>
      </c>
    </row>
    <row r="15" customFormat="false" ht="15" hidden="false" customHeight="false" outlineLevel="0" collapsed="false">
      <c r="B15" s="14" t="s">
        <v>617</v>
      </c>
      <c r="C15" s="14"/>
      <c r="D15" s="14"/>
      <c r="E15" s="14"/>
    </row>
    <row r="16" customFormat="false" ht="15" hidden="false" customHeight="false" outlineLevel="0" collapsed="false">
      <c r="B16" s="4" t="s">
        <v>618</v>
      </c>
      <c r="C16" s="12" t="str">
        <f aca="false">10_VORLAGE!$C$21</f>
        <v>EH 55 EE</v>
      </c>
    </row>
    <row r="18" customFormat="false" ht="15" hidden="false" customHeight="false" outlineLevel="0" collapsed="false">
      <c r="B18" s="21" t="s">
        <v>619</v>
      </c>
    </row>
    <row r="19" customFormat="false" ht="15" hidden="false" customHeight="false" outlineLevel="0" collapsed="false">
      <c r="B19" s="4" t="s">
        <v>620</v>
      </c>
      <c r="C19" s="31" t="n">
        <f aca="false">MIN(C13,150000)</f>
        <v>150000</v>
      </c>
    </row>
    <row r="20" customFormat="false" ht="15" hidden="false" customHeight="false" outlineLevel="0" collapsed="false">
      <c r="B20" s="4" t="s">
        <v>621</v>
      </c>
      <c r="C20" s="34" t="n">
        <f aca="false">IF(C16="EH 40 EE",0.1,IF(C16="EH 55 EE",0.05,0))</f>
        <v>0.05</v>
      </c>
    </row>
    <row r="21" customFormat="false" ht="15" hidden="false" customHeight="false" outlineLevel="0" collapsed="false">
      <c r="B21" s="4" t="s">
        <v>622</v>
      </c>
      <c r="C21" s="31" t="n">
        <f aca="false">C19*C20</f>
        <v>7500</v>
      </c>
    </row>
    <row r="22" customFormat="false" ht="15" hidden="false" customHeight="false" outlineLevel="0" collapsed="false">
      <c r="B22" s="4" t="s">
        <v>623</v>
      </c>
      <c r="C22" s="31" t="n">
        <f aca="false">MAX(0,A_Zins_80-A_Zins_KfW261)*C19*A_Zinsbindung</f>
        <v>13500</v>
      </c>
    </row>
    <row r="23" customFormat="false" ht="15" hidden="false" customHeight="false" outlineLevel="0" collapsed="false">
      <c r="B23" s="32" t="s">
        <v>624</v>
      </c>
      <c r="C23" s="33" t="n">
        <f aca="false">C21+C22</f>
        <v>21000</v>
      </c>
    </row>
    <row r="25" customFormat="false" ht="15" hidden="false" customHeight="false" outlineLevel="0" collapsed="false">
      <c r="B25" s="21" t="s">
        <v>625</v>
      </c>
    </row>
    <row r="26" customFormat="false" ht="15" hidden="false" customHeight="false" outlineLevel="0" collapsed="false">
      <c r="B26" s="4" t="s">
        <v>626</v>
      </c>
      <c r="C26" s="13" t="n">
        <f aca="false">10_VORLAGE!$D$105+10_VORLAGE!$D$106+10_VORLAGE!$D$109+10_VORLAGE!$D$110-(SUMIFS(10_VORLAGE!$U$51:$U$101,10_VORLAGE!$B$51:$B$101,"A01",10_VORLAGE!$S$51:$S$101,"JA")+SUMIFS(10_VORLAGE!$U$51:$U$101,10_VORLAGE!$B$51:$B$101,"A02",10_VORLAGE!$S$51:$S$101,"JA"))</f>
        <v>151846.352705946</v>
      </c>
    </row>
    <row r="27" customFormat="false" ht="15" hidden="false" customHeight="false" outlineLevel="0" collapsed="false">
      <c r="B27" s="4" t="s">
        <v>627</v>
      </c>
      <c r="C27" s="31" t="n">
        <f aca="false">IF(10_VORLAGE!$C$22="Ja",60000,30000)</f>
        <v>60000</v>
      </c>
    </row>
    <row r="28" customFormat="false" ht="15" hidden="false" customHeight="false" outlineLevel="0" collapsed="false">
      <c r="B28" s="4" t="s">
        <v>628</v>
      </c>
      <c r="C28" s="34" t="n">
        <f aca="false">IF(10_VORLAGE!$C$22="Ja",0.2,0.15)</f>
        <v>0.2</v>
      </c>
    </row>
    <row r="29" customFormat="false" ht="15" hidden="false" customHeight="false" outlineLevel="0" collapsed="false">
      <c r="B29" s="4" t="s">
        <v>629</v>
      </c>
      <c r="C29" s="31" t="n">
        <f aca="false">MIN(C26,C27)*C28</f>
        <v>12000</v>
      </c>
    </row>
    <row r="30" customFormat="false" ht="15" hidden="false" customHeight="false" outlineLevel="0" collapsed="false">
      <c r="B30" s="4" t="s">
        <v>630</v>
      </c>
      <c r="C30" s="13" t="n">
        <f aca="false">SUMIFS(10_VORLAGE!$U$51:$U$101,10_VORLAGE!$B$51:$B$101,"A01",10_VORLAGE!$S$51:$S$101,"JA")+SUMIFS(10_VORLAGE!$U$51:$U$101,10_VORLAGE!$B$51:$B$101,"A02",10_VORLAGE!$S$51:$S$101,"JA")</f>
        <v>22500</v>
      </c>
    </row>
    <row r="31" customFormat="false" ht="15" hidden="false" customHeight="false" outlineLevel="0" collapsed="false">
      <c r="B31" s="4" t="s">
        <v>631</v>
      </c>
      <c r="C31" s="34" t="n">
        <f aca="false">IF(A_Einkommen&lt;=30000,0.4,IF(A_Einkommen&lt;=40000,0.3,IF(A_Einkommen&lt;=50000,0.1,0)))</f>
        <v>0</v>
      </c>
    </row>
    <row r="32" customFormat="false" ht="15" hidden="false" customHeight="false" outlineLevel="0" collapsed="false">
      <c r="B32" s="4" t="s">
        <v>632</v>
      </c>
      <c r="C32" s="34" t="n">
        <f aca="false">MIN(0.3+0.16+C31,IF(A_Einkommen&lt;=30000,0.8,0.7))</f>
        <v>0.46</v>
      </c>
    </row>
    <row r="33" customFormat="false" ht="15" hidden="false" customHeight="false" outlineLevel="0" collapsed="false">
      <c r="B33" s="4" t="s">
        <v>633</v>
      </c>
      <c r="C33" s="31" t="n">
        <f aca="false">MIN(C30,28000)*C32</f>
        <v>10350</v>
      </c>
    </row>
    <row r="34" customFormat="false" ht="15" hidden="false" customHeight="false" outlineLevel="0" collapsed="false">
      <c r="B34" s="4" t="s">
        <v>634</v>
      </c>
      <c r="C34" s="13" t="n">
        <f aca="false">MIN(10_VORLAGE!$J$99*0.5,5000)</f>
        <v>2726.1952905892</v>
      </c>
    </row>
    <row r="35" customFormat="false" ht="15" hidden="false" customHeight="false" outlineLevel="0" collapsed="false">
      <c r="B35" s="4" t="s">
        <v>635</v>
      </c>
      <c r="C35" s="13" t="n">
        <f aca="false">MIN(10_VORLAGE!$J$98*0.5,650)</f>
        <v>650</v>
      </c>
    </row>
    <row r="36" customFormat="false" ht="15" hidden="false" customHeight="false" outlineLevel="0" collapsed="false">
      <c r="B36" s="4" t="s">
        <v>636</v>
      </c>
      <c r="C36" s="31" t="n">
        <f aca="false">MAX(0,A_Zins_80-A_Zins_KfW358)*MIN(C13,120000)*A_Zinsbindung</f>
        <v>16800</v>
      </c>
    </row>
    <row r="37" customFormat="false" ht="15" hidden="false" customHeight="false" outlineLevel="0" collapsed="false">
      <c r="B37" s="32" t="s">
        <v>637</v>
      </c>
      <c r="C37" s="33" t="n">
        <f aca="false">C29+C33+C34+C35+C36</f>
        <v>42526.1952905892</v>
      </c>
    </row>
    <row r="39" customFormat="false" ht="15" hidden="false" customHeight="false" outlineLevel="0" collapsed="false">
      <c r="B39" s="4" t="s">
        <v>638</v>
      </c>
      <c r="C39" s="4" t="str">
        <f aca="false">IF(C23&gt;C37,"Weg A (Effizienzhaus)","Weg B (Einzelmaßnahmen)")</f>
        <v>Weg B (Einzelmaßnahmen)</v>
      </c>
    </row>
    <row r="40" customFormat="false" ht="15" hidden="false" customHeight="false" outlineLevel="0" collapsed="false">
      <c r="B40" s="4" t="s">
        <v>639</v>
      </c>
      <c r="C40" s="31" t="n">
        <f aca="false">ABS(C23-C37)</f>
        <v>21526.1952905892</v>
      </c>
    </row>
    <row r="41" customFormat="false" ht="15" hidden="false" customHeight="false" outlineLevel="0" collapsed="false">
      <c r="B41" s="4" t="s">
        <v>640</v>
      </c>
      <c r="C41" s="12" t="str">
        <f aca="false">10_VORLAGE!$C$23</f>
        <v>Automatik (Empfehlung)</v>
      </c>
    </row>
    <row r="42" customFormat="false" ht="15" hidden="false" customHeight="false" outlineLevel="0" collapsed="false">
      <c r="B42" s="32" t="s">
        <v>641</v>
      </c>
      <c r="C42" s="33" t="n">
        <f aca="false">IF(C41="Automatik (Empfehlung)",MAX(C23,C37),IF(C41="Weg A (Effizienzhaus)",C23,C37))</f>
        <v>42526.1952905892</v>
      </c>
    </row>
    <row r="43" customFormat="false" ht="15" hidden="false" customHeight="false" outlineLevel="0" collapsed="false">
      <c r="B43" s="4" t="s">
        <v>642</v>
      </c>
      <c r="C43" s="31" t="n">
        <f aca="false">IF(OR(C41="Weg A (Effizienzhaus)",AND(C41="Automatik (Empfehlung)",C23&gt;=C37)),C19,MIN(C13,120000))</f>
        <v>120000</v>
      </c>
    </row>
    <row r="44" customFormat="false" ht="15" hidden="false" customHeight="false" outlineLevel="0" collapsed="false">
      <c r="B44" s="4" t="s">
        <v>643</v>
      </c>
      <c r="C44" s="34" t="n">
        <f aca="false">IF(OR(C41="Weg A (Effizienzhaus)",AND(C41="Automatik (Empfehlung)",C23&gt;=C37)),A_Zins_KfW261,A_Zins_KfW358)</f>
        <v>0.025</v>
      </c>
    </row>
    <row r="46" customFormat="false" ht="15" hidden="false" customHeight="false" outlineLevel="0" collapsed="false">
      <c r="B46" s="14" t="s">
        <v>644</v>
      </c>
      <c r="C46" s="14"/>
      <c r="D46" s="14"/>
      <c r="E46" s="14"/>
    </row>
    <row r="47" customFormat="false" ht="15" hidden="false" customHeight="false" outlineLevel="0" collapsed="false">
      <c r="B47" s="32" t="s">
        <v>645</v>
      </c>
      <c r="C47" s="33" t="n">
        <f aca="false">C8+C13-C42</f>
        <v>628624.449780575</v>
      </c>
    </row>
    <row r="48" customFormat="false" ht="15" hidden="false" customHeight="false" outlineLevel="0" collapsed="false">
      <c r="B48" s="4" t="s">
        <v>646</v>
      </c>
      <c r="C48" s="31" t="n">
        <f aca="false">SUMPRODUCT((10_VORLAGE!$S$51:$S$101="JA")*10_VORLAGE!$J$51:$J$101*(1+A_Baupreis)^(10_VORLAGE!$Q$51:$Q$101-A_Jahr))</f>
        <v>314572.450956397</v>
      </c>
    </row>
    <row r="49" customFormat="false" ht="15" hidden="false" customHeight="false" outlineLevel="0" collapsed="false">
      <c r="B49" s="4" t="s">
        <v>647</v>
      </c>
      <c r="C49" s="31" t="n">
        <f aca="false">SUMPRODUCT((10_VORLAGE!$S$51:$S$101="JA")*10_VORLAGE!$J$51:$J$101*(1+A_Baupreis)^(10_VORLAGE!$Q$51:$Q$101-A_Jahr)/(1+A_Diskont)^(10_VORLAGE!$Q$51:$Q$101-A_Jahr))</f>
        <v>314572.450956397</v>
      </c>
    </row>
    <row r="51" customFormat="false" ht="15" hidden="false" customHeight="false" outlineLevel="0" collapsed="false">
      <c r="B51" s="14" t="s">
        <v>648</v>
      </c>
      <c r="C51" s="14"/>
      <c r="D51" s="14"/>
      <c r="E51" s="14"/>
    </row>
    <row r="52" customFormat="false" ht="15" hidden="false" customHeight="false" outlineLevel="0" collapsed="false">
      <c r="B52" s="4" t="s">
        <v>649</v>
      </c>
      <c r="C52" s="31" t="n">
        <f aca="false">10_VORLAGE!$C$32</f>
        <v>75000</v>
      </c>
    </row>
    <row r="53" customFormat="false" ht="15" hidden="false" customHeight="false" outlineLevel="0" collapsed="false">
      <c r="B53" s="4" t="s">
        <v>650</v>
      </c>
      <c r="C53" s="31" t="n">
        <f aca="false">C4-10_VORLAGE!$C$32</f>
        <v>210000</v>
      </c>
    </row>
    <row r="54" customFormat="false" ht="15" hidden="false" customHeight="false" outlineLevel="0" collapsed="false">
      <c r="B54" s="4" t="s">
        <v>608</v>
      </c>
      <c r="C54" s="31" t="n">
        <f aca="false">C5+C6+C7</f>
        <v>33829.5</v>
      </c>
    </row>
    <row r="55" customFormat="false" ht="15" hidden="false" customHeight="false" outlineLevel="0" collapsed="false">
      <c r="B55" s="4" t="s">
        <v>651</v>
      </c>
      <c r="C55" s="31" t="n">
        <f aca="false">10_VORLAGE!$C$105</f>
        <v>122416.352705946</v>
      </c>
    </row>
    <row r="56" customFormat="false" ht="15" hidden="false" customHeight="false" outlineLevel="0" collapsed="false">
      <c r="B56" s="4" t="s">
        <v>652</v>
      </c>
      <c r="C56" s="31" t="n">
        <f aca="false">10_VORLAGE!$C$106</f>
        <v>59330</v>
      </c>
    </row>
    <row r="57" customFormat="false" ht="15" hidden="false" customHeight="false" outlineLevel="0" collapsed="false">
      <c r="B57" s="4" t="s">
        <v>653</v>
      </c>
      <c r="C57" s="31" t="n">
        <f aca="false">10_VORLAGE!$C$107</f>
        <v>103154.844032909</v>
      </c>
    </row>
    <row r="58" customFormat="false" ht="15" hidden="false" customHeight="false" outlineLevel="0" collapsed="false">
      <c r="B58" s="4" t="s">
        <v>654</v>
      </c>
      <c r="C58" s="31" t="n">
        <f aca="false">10_VORLAGE!$C$109+10_VORLAGE!$C$110</f>
        <v>17068.8636363636</v>
      </c>
    </row>
    <row r="59" customFormat="false" ht="15" hidden="false" customHeight="false" outlineLevel="0" collapsed="false">
      <c r="B59" s="4" t="s">
        <v>655</v>
      </c>
      <c r="C59" s="31" t="n">
        <f aca="false">10_VORLAGE!$C$108+10_VORLAGE!$C$111+10_VORLAGE!$C$112</f>
        <v>12602.3905811784</v>
      </c>
    </row>
    <row r="60" customFormat="false" ht="15" hidden="false" customHeight="false" outlineLevel="0" collapsed="false">
      <c r="B60" s="4" t="s">
        <v>656</v>
      </c>
      <c r="C60" s="31" t="n">
        <f aca="false">C12</f>
        <v>37748.6941147676</v>
      </c>
    </row>
  </sheetData>
  <mergeCells count="5">
    <mergeCell ref="B3:E3"/>
    <mergeCell ref="B10:E10"/>
    <mergeCell ref="B15:E15"/>
    <mergeCell ref="B46:E46"/>
    <mergeCell ref="B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I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6"/>
    <col collapsed="false" customWidth="true" hidden="false" outlineLevel="0" max="4" min="4" style="0" width="10"/>
    <col collapsed="false" customWidth="true" hidden="false" outlineLevel="0" max="7" min="5" style="0" width="14"/>
    <col collapsed="false" customWidth="true" hidden="false" outlineLevel="0" max="8" min="8" style="0" width="16"/>
    <col collapsed="false" customWidth="true" hidden="false" outlineLevel="0" max="9" min="9" style="0" width="20"/>
  </cols>
  <sheetData>
    <row r="1" customFormat="false" ht="17.35" hidden="false" customHeight="false" outlineLevel="0" collapsed="false">
      <c r="B1" s="1" t="s">
        <v>657</v>
      </c>
    </row>
    <row r="3" customFormat="false" ht="15" hidden="false" customHeight="false" outlineLevel="0" collapsed="false">
      <c r="B3" s="14" t="s">
        <v>658</v>
      </c>
      <c r="C3" s="14"/>
      <c r="D3" s="14"/>
      <c r="E3" s="14"/>
    </row>
    <row r="4" customFormat="false" ht="15" hidden="false" customHeight="false" outlineLevel="0" collapsed="false">
      <c r="B4" s="4" t="s">
        <v>659</v>
      </c>
      <c r="C4" s="13" t="n">
        <f aca="false">11_Kalkulation!$C$47</f>
        <v>628624.449780575</v>
      </c>
    </row>
    <row r="5" customFormat="false" ht="15" hidden="false" customHeight="false" outlineLevel="0" collapsed="false">
      <c r="B5" s="4" t="s">
        <v>660</v>
      </c>
      <c r="C5" s="31" t="n">
        <f aca="false">A_EK</f>
        <v>100000</v>
      </c>
    </row>
    <row r="6" customFormat="false" ht="15" hidden="false" customHeight="false" outlineLevel="0" collapsed="false">
      <c r="B6" s="32" t="s">
        <v>661</v>
      </c>
      <c r="C6" s="33" t="n">
        <f aca="false">MAX(0,C4-C5)</f>
        <v>528624.449780575</v>
      </c>
    </row>
    <row r="8" customFormat="false" ht="15" hidden="false" customHeight="false" outlineLevel="0" collapsed="false">
      <c r="B8" s="21" t="s">
        <v>662</v>
      </c>
    </row>
    <row r="9" customFormat="false" ht="15" hidden="false" customHeight="false" outlineLevel="0" collapsed="false">
      <c r="B9" s="4" t="s">
        <v>663</v>
      </c>
      <c r="C9" s="31" t="n">
        <f aca="false">MIN(C6,11_Kalkulation!$C$43)</f>
        <v>120000</v>
      </c>
    </row>
    <row r="10" customFormat="false" ht="15" hidden="false" customHeight="false" outlineLevel="0" collapsed="false">
      <c r="B10" s="4" t="s">
        <v>664</v>
      </c>
      <c r="C10" s="35" t="n">
        <f aca="false">11_Kalkulation!$C$44</f>
        <v>0.025</v>
      </c>
    </row>
    <row r="11" customFormat="false" ht="15" hidden="false" customHeight="false" outlineLevel="0" collapsed="false">
      <c r="B11" s="4" t="s">
        <v>665</v>
      </c>
      <c r="C11" s="36" t="n">
        <f aca="false">A_KfW_tf</f>
        <v>2</v>
      </c>
    </row>
    <row r="13" customFormat="false" ht="15" hidden="false" customHeight="false" outlineLevel="0" collapsed="false">
      <c r="B13" s="21" t="s">
        <v>666</v>
      </c>
    </row>
    <row r="14" customFormat="false" ht="15" hidden="false" customHeight="false" outlineLevel="0" collapsed="false">
      <c r="B14" s="4" t="s">
        <v>667</v>
      </c>
      <c r="C14" s="31" t="n">
        <f aca="false">C6-C9</f>
        <v>408624.449780575</v>
      </c>
    </row>
    <row r="15" customFormat="false" ht="15" hidden="false" customHeight="false" outlineLevel="0" collapsed="false">
      <c r="B15" s="4" t="s">
        <v>668</v>
      </c>
      <c r="C15" s="34" t="n">
        <f aca="false">C6/(11_Kalkulation!$C$8+11_Kalkulation!$C$13)</f>
        <v>0.787639040002</v>
      </c>
    </row>
    <row r="16" customFormat="false" ht="15" hidden="false" customHeight="false" outlineLevel="0" collapsed="false">
      <c r="B16" s="4" t="s">
        <v>669</v>
      </c>
      <c r="C16" s="34" t="n">
        <f aca="false">IF(C15&lt;=0.7,A_Zins_60,IF(C15&lt;=0.8,A_Zins_80,A_Zins_100))</f>
        <v>0.039</v>
      </c>
    </row>
    <row r="17" customFormat="false" ht="15" hidden="false" customHeight="false" outlineLevel="0" collapsed="false">
      <c r="B17" s="4" t="s">
        <v>670</v>
      </c>
      <c r="C17" s="34" t="n">
        <f aca="false">C16-IF(OR(11_Kalkulation!$C$16="EH 55 EE",11_Kalkulation!$C$16="EH 40 EE"),A_Zins_green,0)</f>
        <v>0.0375</v>
      </c>
    </row>
    <row r="20" customFormat="false" ht="15" hidden="false" customHeight="false" outlineLevel="0" collapsed="false">
      <c r="B20" s="14" t="s">
        <v>671</v>
      </c>
      <c r="C20" s="14"/>
      <c r="D20" s="14"/>
      <c r="E20" s="14"/>
    </row>
    <row r="21" customFormat="false" ht="15" hidden="false" customHeight="false" outlineLevel="0" collapsed="false">
      <c r="B21" s="4" t="s">
        <v>672</v>
      </c>
      <c r="C21" s="31" t="n">
        <f aca="false">C9*(C10+A_Tilgung)</f>
        <v>6000</v>
      </c>
    </row>
    <row r="22" customFormat="false" ht="15" hidden="false" customHeight="false" outlineLevel="0" collapsed="false">
      <c r="B22" s="4" t="s">
        <v>673</v>
      </c>
      <c r="C22" s="31" t="n">
        <f aca="false">C14*(C17+A_Tilgung)</f>
        <v>25539.028111286</v>
      </c>
    </row>
    <row r="23" customFormat="false" ht="15" hidden="false" customHeight="false" outlineLevel="0" collapsed="false">
      <c r="B23" s="4" t="s">
        <v>674</v>
      </c>
      <c r="C23" s="31" t="n">
        <f aca="false">(C21+C22)/12</f>
        <v>2628.25234260716</v>
      </c>
    </row>
    <row r="25" customFormat="false" ht="15" hidden="false" customHeight="false" outlineLevel="0" collapsed="false">
      <c r="B25" s="14" t="s">
        <v>675</v>
      </c>
      <c r="C25" s="14"/>
      <c r="D25" s="14"/>
      <c r="E25" s="14"/>
      <c r="F25" s="14"/>
      <c r="G25" s="14"/>
      <c r="H25" s="14"/>
      <c r="I25" s="14"/>
    </row>
    <row r="26" customFormat="false" ht="23.85" hidden="false" customHeight="false" outlineLevel="0" collapsed="false">
      <c r="B26" s="11" t="s">
        <v>51</v>
      </c>
      <c r="C26" s="11" t="s">
        <v>676</v>
      </c>
      <c r="D26" s="11" t="s">
        <v>677</v>
      </c>
      <c r="E26" s="11" t="s">
        <v>678</v>
      </c>
      <c r="F26" s="11" t="s">
        <v>679</v>
      </c>
      <c r="G26" s="11" t="s">
        <v>680</v>
      </c>
      <c r="H26" s="11" t="s">
        <v>681</v>
      </c>
      <c r="I26" s="11" t="s">
        <v>682</v>
      </c>
    </row>
    <row r="27" customFormat="false" ht="15" hidden="false" customHeight="false" outlineLevel="0" collapsed="false">
      <c r="B27" s="36" t="n">
        <v>1</v>
      </c>
      <c r="C27" s="31" t="n">
        <f aca="false">C9</f>
        <v>120000</v>
      </c>
      <c r="D27" s="34" t="n">
        <f aca="false">IF($B27&lt;=A_Zinsbindung,$C$10,A_Zins_Anschluss)</f>
        <v>0.025</v>
      </c>
      <c r="E27" s="31" t="n">
        <f aca="false">IF($B27&lt;=A_Laufzeit,C27*D27,0)</f>
        <v>3000</v>
      </c>
      <c r="F27" s="31" t="n">
        <f aca="false">IF($B27&lt;=A_Laufzeit,G27-E27,0)</f>
        <v>0</v>
      </c>
      <c r="G27" s="31" t="n">
        <f aca="false">IF($B27&lt;=A_Laufzeit,IF($B27&lt;=A_KfW_tf,E27,$C$21),0)</f>
        <v>3000</v>
      </c>
      <c r="H27" s="31" t="n">
        <f aca="false">MAX(0,C27-F27)</f>
        <v>120000</v>
      </c>
      <c r="I27" s="31" t="n">
        <f aca="false">IF($B27&lt;=A_Laufzeit,C27*MAX(0,$C$16-D27),0)</f>
        <v>1680</v>
      </c>
    </row>
    <row r="28" customFormat="false" ht="15" hidden="false" customHeight="false" outlineLevel="0" collapsed="false">
      <c r="B28" s="36" t="n">
        <v>2</v>
      </c>
      <c r="C28" s="31" t="n">
        <f aca="false">H27</f>
        <v>120000</v>
      </c>
      <c r="D28" s="34" t="n">
        <f aca="false">IF($B28&lt;=A_Zinsbindung,$C$10,A_Zins_Anschluss)</f>
        <v>0.025</v>
      </c>
      <c r="E28" s="31" t="n">
        <f aca="false">IF($B28&lt;=A_Laufzeit,C28*D28,0)</f>
        <v>3000</v>
      </c>
      <c r="F28" s="31" t="n">
        <f aca="false">IF($B28&lt;=A_Laufzeit,G28-E28,0)</f>
        <v>0</v>
      </c>
      <c r="G28" s="31" t="n">
        <f aca="false">IF($B28&lt;=A_Laufzeit,IF($B28&lt;=A_KfW_tf,E28,$C$21),0)</f>
        <v>3000</v>
      </c>
      <c r="H28" s="31" t="n">
        <f aca="false">MAX(0,C28-F28)</f>
        <v>120000</v>
      </c>
      <c r="I28" s="31" t="n">
        <f aca="false">IF($B28&lt;=A_Laufzeit,C28*MAX(0,$C$16-D28),0)</f>
        <v>1680</v>
      </c>
    </row>
    <row r="29" customFormat="false" ht="15" hidden="false" customHeight="false" outlineLevel="0" collapsed="false">
      <c r="B29" s="36" t="n">
        <v>3</v>
      </c>
      <c r="C29" s="31" t="n">
        <f aca="false">H28</f>
        <v>120000</v>
      </c>
      <c r="D29" s="34" t="n">
        <f aca="false">IF($B29&lt;=A_Zinsbindung,$C$10,A_Zins_Anschluss)</f>
        <v>0.025</v>
      </c>
      <c r="E29" s="31" t="n">
        <f aca="false">IF($B29&lt;=A_Laufzeit,C29*D29,0)</f>
        <v>3000</v>
      </c>
      <c r="F29" s="31" t="n">
        <f aca="false">IF($B29&lt;=A_Laufzeit,G29-E29,0)</f>
        <v>3000</v>
      </c>
      <c r="G29" s="31" t="n">
        <f aca="false">IF($B29&lt;=A_Laufzeit,IF($B29&lt;=A_KfW_tf,E29,$C$21),0)</f>
        <v>6000</v>
      </c>
      <c r="H29" s="31" t="n">
        <f aca="false">MAX(0,C29-F29)</f>
        <v>117000</v>
      </c>
      <c r="I29" s="31" t="n">
        <f aca="false">IF($B29&lt;=A_Laufzeit,C29*MAX(0,$C$16-D29),0)</f>
        <v>1680</v>
      </c>
    </row>
    <row r="30" customFormat="false" ht="15" hidden="false" customHeight="false" outlineLevel="0" collapsed="false">
      <c r="B30" s="36" t="n">
        <v>4</v>
      </c>
      <c r="C30" s="31" t="n">
        <f aca="false">H29</f>
        <v>117000</v>
      </c>
      <c r="D30" s="34" t="n">
        <f aca="false">IF($B30&lt;=A_Zinsbindung,$C$10,A_Zins_Anschluss)</f>
        <v>0.025</v>
      </c>
      <c r="E30" s="31" t="n">
        <f aca="false">IF($B30&lt;=A_Laufzeit,C30*D30,0)</f>
        <v>2925</v>
      </c>
      <c r="F30" s="31" t="n">
        <f aca="false">IF($B30&lt;=A_Laufzeit,G30-E30,0)</f>
        <v>3075</v>
      </c>
      <c r="G30" s="31" t="n">
        <f aca="false">IF($B30&lt;=A_Laufzeit,IF($B30&lt;=A_KfW_tf,E30,$C$21),0)</f>
        <v>6000</v>
      </c>
      <c r="H30" s="31" t="n">
        <f aca="false">MAX(0,C30-F30)</f>
        <v>113925</v>
      </c>
      <c r="I30" s="31" t="n">
        <f aca="false">IF($B30&lt;=A_Laufzeit,C30*MAX(0,$C$16-D30),0)</f>
        <v>1638</v>
      </c>
    </row>
    <row r="31" customFormat="false" ht="15" hidden="false" customHeight="false" outlineLevel="0" collapsed="false">
      <c r="B31" s="36" t="n">
        <v>5</v>
      </c>
      <c r="C31" s="31" t="n">
        <f aca="false">H30</f>
        <v>113925</v>
      </c>
      <c r="D31" s="34" t="n">
        <f aca="false">IF($B31&lt;=A_Zinsbindung,$C$10,A_Zins_Anschluss)</f>
        <v>0.025</v>
      </c>
      <c r="E31" s="31" t="n">
        <f aca="false">IF($B31&lt;=A_Laufzeit,C31*D31,0)</f>
        <v>2848.125</v>
      </c>
      <c r="F31" s="31" t="n">
        <f aca="false">IF($B31&lt;=A_Laufzeit,G31-E31,0)</f>
        <v>3151.875</v>
      </c>
      <c r="G31" s="31" t="n">
        <f aca="false">IF($B31&lt;=A_Laufzeit,IF($B31&lt;=A_KfW_tf,E31,$C$21),0)</f>
        <v>6000</v>
      </c>
      <c r="H31" s="31" t="n">
        <f aca="false">MAX(0,C31-F31)</f>
        <v>110773.125</v>
      </c>
      <c r="I31" s="31" t="n">
        <f aca="false">IF($B31&lt;=A_Laufzeit,C31*MAX(0,$C$16-D31),0)</f>
        <v>1594.95</v>
      </c>
    </row>
    <row r="32" customFormat="false" ht="15" hidden="false" customHeight="false" outlineLevel="0" collapsed="false">
      <c r="B32" s="36" t="n">
        <v>6</v>
      </c>
      <c r="C32" s="31" t="n">
        <f aca="false">H31</f>
        <v>110773.125</v>
      </c>
      <c r="D32" s="34" t="n">
        <f aca="false">IF($B32&lt;=A_Zinsbindung,$C$10,A_Zins_Anschluss)</f>
        <v>0.025</v>
      </c>
      <c r="E32" s="31" t="n">
        <f aca="false">IF($B32&lt;=A_Laufzeit,C32*D32,0)</f>
        <v>2769.328125</v>
      </c>
      <c r="F32" s="31" t="n">
        <f aca="false">IF($B32&lt;=A_Laufzeit,G32-E32,0)</f>
        <v>3230.671875</v>
      </c>
      <c r="G32" s="31" t="n">
        <f aca="false">IF($B32&lt;=A_Laufzeit,IF($B32&lt;=A_KfW_tf,E32,$C$21),0)</f>
        <v>6000</v>
      </c>
      <c r="H32" s="31" t="n">
        <f aca="false">MAX(0,C32-F32)</f>
        <v>107542.453125</v>
      </c>
      <c r="I32" s="31" t="n">
        <f aca="false">IF($B32&lt;=A_Laufzeit,C32*MAX(0,$C$16-D32),0)</f>
        <v>1550.82375</v>
      </c>
    </row>
    <row r="33" customFormat="false" ht="15" hidden="false" customHeight="false" outlineLevel="0" collapsed="false">
      <c r="B33" s="36" t="n">
        <v>7</v>
      </c>
      <c r="C33" s="31" t="n">
        <f aca="false">H32</f>
        <v>107542.453125</v>
      </c>
      <c r="D33" s="34" t="n">
        <f aca="false">IF($B33&lt;=A_Zinsbindung,$C$10,A_Zins_Anschluss)</f>
        <v>0.025</v>
      </c>
      <c r="E33" s="31" t="n">
        <f aca="false">IF($B33&lt;=A_Laufzeit,C33*D33,0)</f>
        <v>2688.561328125</v>
      </c>
      <c r="F33" s="31" t="n">
        <f aca="false">IF($B33&lt;=A_Laufzeit,G33-E33,0)</f>
        <v>3311.438671875</v>
      </c>
      <c r="G33" s="31" t="n">
        <f aca="false">IF($B33&lt;=A_Laufzeit,IF($B33&lt;=A_KfW_tf,E33,$C$21),0)</f>
        <v>6000</v>
      </c>
      <c r="H33" s="31" t="n">
        <f aca="false">MAX(0,C33-F33)</f>
        <v>104231.014453125</v>
      </c>
      <c r="I33" s="31" t="n">
        <f aca="false">IF($B33&lt;=A_Laufzeit,C33*MAX(0,$C$16-D33),0)</f>
        <v>1505.59434375</v>
      </c>
    </row>
    <row r="34" customFormat="false" ht="15" hidden="false" customHeight="false" outlineLevel="0" collapsed="false">
      <c r="B34" s="36" t="n">
        <v>8</v>
      </c>
      <c r="C34" s="31" t="n">
        <f aca="false">H33</f>
        <v>104231.014453125</v>
      </c>
      <c r="D34" s="34" t="n">
        <f aca="false">IF($B34&lt;=A_Zinsbindung,$C$10,A_Zins_Anschluss)</f>
        <v>0.025</v>
      </c>
      <c r="E34" s="31" t="n">
        <f aca="false">IF($B34&lt;=A_Laufzeit,C34*D34,0)</f>
        <v>2605.77536132813</v>
      </c>
      <c r="F34" s="31" t="n">
        <f aca="false">IF($B34&lt;=A_Laufzeit,G34-E34,0)</f>
        <v>3394.22463867188</v>
      </c>
      <c r="G34" s="31" t="n">
        <f aca="false">IF($B34&lt;=A_Laufzeit,IF($B34&lt;=A_KfW_tf,E34,$C$21),0)</f>
        <v>6000</v>
      </c>
      <c r="H34" s="31" t="n">
        <f aca="false">MAX(0,C34-F34)</f>
        <v>100836.789814453</v>
      </c>
      <c r="I34" s="31" t="n">
        <f aca="false">IF($B34&lt;=A_Laufzeit,C34*MAX(0,$C$16-D34),0)</f>
        <v>1459.23420234375</v>
      </c>
    </row>
    <row r="35" customFormat="false" ht="15" hidden="false" customHeight="false" outlineLevel="0" collapsed="false">
      <c r="B35" s="36" t="n">
        <v>9</v>
      </c>
      <c r="C35" s="31" t="n">
        <f aca="false">H34</f>
        <v>100836.789814453</v>
      </c>
      <c r="D35" s="34" t="n">
        <f aca="false">IF($B35&lt;=A_Zinsbindung,$C$10,A_Zins_Anschluss)</f>
        <v>0.025</v>
      </c>
      <c r="E35" s="31" t="n">
        <f aca="false">IF($B35&lt;=A_Laufzeit,C35*D35,0)</f>
        <v>2520.91974536133</v>
      </c>
      <c r="F35" s="31" t="n">
        <f aca="false">IF($B35&lt;=A_Laufzeit,G35-E35,0)</f>
        <v>3479.08025463867</v>
      </c>
      <c r="G35" s="31" t="n">
        <f aca="false">IF($B35&lt;=A_Laufzeit,IF($B35&lt;=A_KfW_tf,E35,$C$21),0)</f>
        <v>6000</v>
      </c>
      <c r="H35" s="31" t="n">
        <f aca="false">MAX(0,C35-F35)</f>
        <v>97357.7095598145</v>
      </c>
      <c r="I35" s="31" t="n">
        <f aca="false">IF($B35&lt;=A_Laufzeit,C35*MAX(0,$C$16-D35),0)</f>
        <v>1411.71505740234</v>
      </c>
    </row>
    <row r="36" customFormat="false" ht="15" hidden="false" customHeight="false" outlineLevel="0" collapsed="false">
      <c r="B36" s="36" t="n">
        <v>10</v>
      </c>
      <c r="C36" s="31" t="n">
        <f aca="false">H35</f>
        <v>97357.7095598145</v>
      </c>
      <c r="D36" s="34" t="n">
        <f aca="false">IF($B36&lt;=A_Zinsbindung,$C$10,A_Zins_Anschluss)</f>
        <v>0.025</v>
      </c>
      <c r="E36" s="31" t="n">
        <f aca="false">IF($B36&lt;=A_Laufzeit,C36*D36,0)</f>
        <v>2433.94273899536</v>
      </c>
      <c r="F36" s="31" t="n">
        <f aca="false">IF($B36&lt;=A_Laufzeit,G36-E36,0)</f>
        <v>3566.05726100464</v>
      </c>
      <c r="G36" s="31" t="n">
        <f aca="false">IF($B36&lt;=A_Laufzeit,IF($B36&lt;=A_KfW_tf,E36,$C$21),0)</f>
        <v>6000</v>
      </c>
      <c r="H36" s="31" t="n">
        <f aca="false">MAX(0,C36-F36)</f>
        <v>93791.6522988098</v>
      </c>
      <c r="I36" s="31" t="n">
        <f aca="false">IF($B36&lt;=A_Laufzeit,C36*MAX(0,$C$16-D36),0)</f>
        <v>1363.0079338374</v>
      </c>
    </row>
    <row r="37" customFormat="false" ht="15" hidden="false" customHeight="false" outlineLevel="0" collapsed="false">
      <c r="B37" s="36" t="n">
        <v>11</v>
      </c>
      <c r="C37" s="31" t="n">
        <f aca="false">H36</f>
        <v>93791.6522988098</v>
      </c>
      <c r="D37" s="34" t="n">
        <f aca="false">IF($B37&lt;=A_Zinsbindung,$C$10,A_Zins_Anschluss)</f>
        <v>0.045</v>
      </c>
      <c r="E37" s="31" t="n">
        <f aca="false">IF($B37&lt;=A_Laufzeit,C37*D37,0)</f>
        <v>4220.62435344644</v>
      </c>
      <c r="F37" s="31" t="n">
        <f aca="false">IF($B37&lt;=A_Laufzeit,G37-E37,0)</f>
        <v>1779.37564655356</v>
      </c>
      <c r="G37" s="31" t="n">
        <f aca="false">IF($B37&lt;=A_Laufzeit,IF($B37&lt;=A_KfW_tf,E37,$C$21),0)</f>
        <v>6000</v>
      </c>
      <c r="H37" s="31" t="n">
        <f aca="false">MAX(0,C37-F37)</f>
        <v>92012.2766522563</v>
      </c>
      <c r="I37" s="31" t="n">
        <f aca="false">IF($B37&lt;=A_Laufzeit,C37*MAX(0,$C$16-D37),0)</f>
        <v>0</v>
      </c>
    </row>
    <row r="38" customFormat="false" ht="15" hidden="false" customHeight="false" outlineLevel="0" collapsed="false">
      <c r="B38" s="36" t="n">
        <v>12</v>
      </c>
      <c r="C38" s="31" t="n">
        <f aca="false">H37</f>
        <v>92012.2766522563</v>
      </c>
      <c r="D38" s="34" t="n">
        <f aca="false">IF($B38&lt;=A_Zinsbindung,$C$10,A_Zins_Anschluss)</f>
        <v>0.045</v>
      </c>
      <c r="E38" s="31" t="n">
        <f aca="false">IF($B38&lt;=A_Laufzeit,C38*D38,0)</f>
        <v>4140.55244935153</v>
      </c>
      <c r="F38" s="31" t="n">
        <f aca="false">IF($B38&lt;=A_Laufzeit,G38-E38,0)</f>
        <v>1859.44755064847</v>
      </c>
      <c r="G38" s="31" t="n">
        <f aca="false">IF($B38&lt;=A_Laufzeit,IF($B38&lt;=A_KfW_tf,E38,$C$21),0)</f>
        <v>6000</v>
      </c>
      <c r="H38" s="31" t="n">
        <f aca="false">MAX(0,C38-F38)</f>
        <v>90152.8291016078</v>
      </c>
      <c r="I38" s="31" t="n">
        <f aca="false">IF($B38&lt;=A_Laufzeit,C38*MAX(0,$C$16-D38),0)</f>
        <v>0</v>
      </c>
    </row>
    <row r="39" customFormat="false" ht="15" hidden="false" customHeight="false" outlineLevel="0" collapsed="false">
      <c r="B39" s="36" t="n">
        <v>13</v>
      </c>
      <c r="C39" s="31" t="n">
        <f aca="false">H38</f>
        <v>90152.8291016078</v>
      </c>
      <c r="D39" s="34" t="n">
        <f aca="false">IF($B39&lt;=A_Zinsbindung,$C$10,A_Zins_Anschluss)</f>
        <v>0.045</v>
      </c>
      <c r="E39" s="31" t="n">
        <f aca="false">IF($B39&lt;=A_Laufzeit,C39*D39,0)</f>
        <v>4056.87730957235</v>
      </c>
      <c r="F39" s="31" t="n">
        <f aca="false">IF($B39&lt;=A_Laufzeit,G39-E39,0)</f>
        <v>1943.12269042765</v>
      </c>
      <c r="G39" s="31" t="n">
        <f aca="false">IF($B39&lt;=A_Laufzeit,IF($B39&lt;=A_KfW_tf,E39,$C$21),0)</f>
        <v>6000</v>
      </c>
      <c r="H39" s="31" t="n">
        <f aca="false">MAX(0,C39-F39)</f>
        <v>88209.7064111801</v>
      </c>
      <c r="I39" s="31" t="n">
        <f aca="false">IF($B39&lt;=A_Laufzeit,C39*MAX(0,$C$16-D39),0)</f>
        <v>0</v>
      </c>
    </row>
    <row r="40" customFormat="false" ht="15" hidden="false" customHeight="false" outlineLevel="0" collapsed="false">
      <c r="B40" s="36" t="n">
        <v>14</v>
      </c>
      <c r="C40" s="31" t="n">
        <f aca="false">H39</f>
        <v>88209.7064111801</v>
      </c>
      <c r="D40" s="34" t="n">
        <f aca="false">IF($B40&lt;=A_Zinsbindung,$C$10,A_Zins_Anschluss)</f>
        <v>0.045</v>
      </c>
      <c r="E40" s="31" t="n">
        <f aca="false">IF($B40&lt;=A_Laufzeit,C40*D40,0)</f>
        <v>3969.43678850311</v>
      </c>
      <c r="F40" s="31" t="n">
        <f aca="false">IF($B40&lt;=A_Laufzeit,G40-E40,0)</f>
        <v>2030.56321149689</v>
      </c>
      <c r="G40" s="31" t="n">
        <f aca="false">IF($B40&lt;=A_Laufzeit,IF($B40&lt;=A_KfW_tf,E40,$C$21),0)</f>
        <v>6000</v>
      </c>
      <c r="H40" s="31" t="n">
        <f aca="false">MAX(0,C40-F40)</f>
        <v>86179.1431996832</v>
      </c>
      <c r="I40" s="31" t="n">
        <f aca="false">IF($B40&lt;=A_Laufzeit,C40*MAX(0,$C$16-D40),0)</f>
        <v>0</v>
      </c>
    </row>
    <row r="41" customFormat="false" ht="15" hidden="false" customHeight="false" outlineLevel="0" collapsed="false">
      <c r="B41" s="36" t="n">
        <v>15</v>
      </c>
      <c r="C41" s="31" t="n">
        <f aca="false">H40</f>
        <v>86179.1431996832</v>
      </c>
      <c r="D41" s="34" t="n">
        <f aca="false">IF($B41&lt;=A_Zinsbindung,$C$10,A_Zins_Anschluss)</f>
        <v>0.045</v>
      </c>
      <c r="E41" s="31" t="n">
        <f aca="false">IF($B41&lt;=A_Laufzeit,C41*D41,0)</f>
        <v>3878.06144398575</v>
      </c>
      <c r="F41" s="31" t="n">
        <f aca="false">IF($B41&lt;=A_Laufzeit,G41-E41,0)</f>
        <v>2121.93855601425</v>
      </c>
      <c r="G41" s="31" t="n">
        <f aca="false">IF($B41&lt;=A_Laufzeit,IF($B41&lt;=A_KfW_tf,E41,$C$21),0)</f>
        <v>6000</v>
      </c>
      <c r="H41" s="31" t="n">
        <f aca="false">MAX(0,C41-F41)</f>
        <v>84057.204643669</v>
      </c>
      <c r="I41" s="31" t="n">
        <f aca="false">IF($B41&lt;=A_Laufzeit,C41*MAX(0,$C$16-D41),0)</f>
        <v>0</v>
      </c>
    </row>
    <row r="42" customFormat="false" ht="15" hidden="false" customHeight="false" outlineLevel="0" collapsed="false">
      <c r="B42" s="36" t="n">
        <v>16</v>
      </c>
      <c r="C42" s="31" t="n">
        <f aca="false">H41</f>
        <v>84057.204643669</v>
      </c>
      <c r="D42" s="34" t="n">
        <f aca="false">IF($B42&lt;=A_Zinsbindung,$C$10,A_Zins_Anschluss)</f>
        <v>0.045</v>
      </c>
      <c r="E42" s="31" t="n">
        <f aca="false">IF($B42&lt;=A_Laufzeit,C42*D42,0)</f>
        <v>3782.5742089651</v>
      </c>
      <c r="F42" s="31" t="n">
        <f aca="false">IF($B42&lt;=A_Laufzeit,G42-E42,0)</f>
        <v>2217.4257910349</v>
      </c>
      <c r="G42" s="31" t="n">
        <f aca="false">IF($B42&lt;=A_Laufzeit,IF($B42&lt;=A_KfW_tf,E42,$C$21),0)</f>
        <v>6000</v>
      </c>
      <c r="H42" s="31" t="n">
        <f aca="false">MAX(0,C42-F42)</f>
        <v>81839.7788526341</v>
      </c>
      <c r="I42" s="31" t="n">
        <f aca="false">IF($B42&lt;=A_Laufzeit,C42*MAX(0,$C$16-D42),0)</f>
        <v>0</v>
      </c>
    </row>
    <row r="43" customFormat="false" ht="15" hidden="false" customHeight="false" outlineLevel="0" collapsed="false">
      <c r="B43" s="36" t="n">
        <v>17</v>
      </c>
      <c r="C43" s="31" t="n">
        <f aca="false">H42</f>
        <v>81839.7788526341</v>
      </c>
      <c r="D43" s="34" t="n">
        <f aca="false">IF($B43&lt;=A_Zinsbindung,$C$10,A_Zins_Anschluss)</f>
        <v>0.045</v>
      </c>
      <c r="E43" s="31" t="n">
        <f aca="false">IF($B43&lt;=A_Laufzeit,C43*D43,0)</f>
        <v>3682.79004836853</v>
      </c>
      <c r="F43" s="31" t="n">
        <f aca="false">IF($B43&lt;=A_Laufzeit,G43-E43,0)</f>
        <v>2317.20995163147</v>
      </c>
      <c r="G43" s="31" t="n">
        <f aca="false">IF($B43&lt;=A_Laufzeit,IF($B43&lt;=A_KfW_tf,E43,$C$21),0)</f>
        <v>6000</v>
      </c>
      <c r="H43" s="31" t="n">
        <f aca="false">MAX(0,C43-F43)</f>
        <v>79522.5689010026</v>
      </c>
      <c r="I43" s="31" t="n">
        <f aca="false">IF($B43&lt;=A_Laufzeit,C43*MAX(0,$C$16-D43),0)</f>
        <v>0</v>
      </c>
    </row>
    <row r="44" customFormat="false" ht="15" hidden="false" customHeight="false" outlineLevel="0" collapsed="false">
      <c r="B44" s="36" t="n">
        <v>18</v>
      </c>
      <c r="C44" s="31" t="n">
        <f aca="false">H43</f>
        <v>79522.5689010026</v>
      </c>
      <c r="D44" s="34" t="n">
        <f aca="false">IF($B44&lt;=A_Zinsbindung,$C$10,A_Zins_Anschluss)</f>
        <v>0.045</v>
      </c>
      <c r="E44" s="31" t="n">
        <f aca="false">IF($B44&lt;=A_Laufzeit,C44*D44,0)</f>
        <v>3578.51560054512</v>
      </c>
      <c r="F44" s="31" t="n">
        <f aca="false">IF($B44&lt;=A_Laufzeit,G44-E44,0)</f>
        <v>2421.48439945488</v>
      </c>
      <c r="G44" s="31" t="n">
        <f aca="false">IF($B44&lt;=A_Laufzeit,IF($B44&lt;=A_KfW_tf,E44,$C$21),0)</f>
        <v>6000</v>
      </c>
      <c r="H44" s="31" t="n">
        <f aca="false">MAX(0,C44-F44)</f>
        <v>77101.0845015477</v>
      </c>
      <c r="I44" s="31" t="n">
        <f aca="false">IF($B44&lt;=A_Laufzeit,C44*MAX(0,$C$16-D44),0)</f>
        <v>0</v>
      </c>
    </row>
    <row r="45" customFormat="false" ht="15" hidden="false" customHeight="false" outlineLevel="0" collapsed="false">
      <c r="B45" s="36" t="n">
        <v>19</v>
      </c>
      <c r="C45" s="31" t="n">
        <f aca="false">H44</f>
        <v>77101.0845015477</v>
      </c>
      <c r="D45" s="34" t="n">
        <f aca="false">IF($B45&lt;=A_Zinsbindung,$C$10,A_Zins_Anschluss)</f>
        <v>0.045</v>
      </c>
      <c r="E45" s="31" t="n">
        <f aca="false">IF($B45&lt;=A_Laufzeit,C45*D45,0)</f>
        <v>3469.54880256965</v>
      </c>
      <c r="F45" s="31" t="n">
        <f aca="false">IF($B45&lt;=A_Laufzeit,G45-E45,0)</f>
        <v>2530.45119743035</v>
      </c>
      <c r="G45" s="31" t="n">
        <f aca="false">IF($B45&lt;=A_Laufzeit,IF($B45&lt;=A_KfW_tf,E45,$C$21),0)</f>
        <v>6000</v>
      </c>
      <c r="H45" s="31" t="n">
        <f aca="false">MAX(0,C45-F45)</f>
        <v>74570.6333041174</v>
      </c>
      <c r="I45" s="31" t="n">
        <f aca="false">IF($B45&lt;=A_Laufzeit,C45*MAX(0,$C$16-D45),0)</f>
        <v>0</v>
      </c>
    </row>
    <row r="46" customFormat="false" ht="15" hidden="false" customHeight="false" outlineLevel="0" collapsed="false">
      <c r="B46" s="36" t="n">
        <v>20</v>
      </c>
      <c r="C46" s="31" t="n">
        <f aca="false">H45</f>
        <v>74570.6333041174</v>
      </c>
      <c r="D46" s="34" t="n">
        <f aca="false">IF($B46&lt;=A_Zinsbindung,$C$10,A_Zins_Anschluss)</f>
        <v>0.045</v>
      </c>
      <c r="E46" s="31" t="n">
        <f aca="false">IF($B46&lt;=A_Laufzeit,C46*D46,0)</f>
        <v>3355.67849868528</v>
      </c>
      <c r="F46" s="31" t="n">
        <f aca="false">IF($B46&lt;=A_Laufzeit,G46-E46,0)</f>
        <v>2644.32150131472</v>
      </c>
      <c r="G46" s="31" t="n">
        <f aca="false">IF($B46&lt;=A_Laufzeit,IF($B46&lt;=A_KfW_tf,E46,$C$21),0)</f>
        <v>6000</v>
      </c>
      <c r="H46" s="31" t="n">
        <f aca="false">MAX(0,C46-F46)</f>
        <v>71926.3118028027</v>
      </c>
      <c r="I46" s="31" t="n">
        <f aca="false">IF($B46&lt;=A_Laufzeit,C46*MAX(0,$C$16-D46),0)</f>
        <v>0</v>
      </c>
    </row>
    <row r="47" customFormat="false" ht="15" hidden="false" customHeight="false" outlineLevel="0" collapsed="false">
      <c r="B47" s="36" t="n">
        <v>21</v>
      </c>
      <c r="C47" s="31" t="n">
        <f aca="false">H46</f>
        <v>71926.3118028027</v>
      </c>
      <c r="D47" s="34" t="n">
        <f aca="false">IF($B47&lt;=A_Zinsbindung,$C$10,A_Zins_Anschluss)</f>
        <v>0.045</v>
      </c>
      <c r="E47" s="31" t="n">
        <f aca="false">IF($B47&lt;=A_Laufzeit,C47*D47,0)</f>
        <v>3236.68403112612</v>
      </c>
      <c r="F47" s="31" t="n">
        <f aca="false">IF($B47&lt;=A_Laufzeit,G47-E47,0)</f>
        <v>2763.31596887388</v>
      </c>
      <c r="G47" s="31" t="n">
        <f aca="false">IF($B47&lt;=A_Laufzeit,IF($B47&lt;=A_KfW_tf,E47,$C$21),0)</f>
        <v>6000</v>
      </c>
      <c r="H47" s="31" t="n">
        <f aca="false">MAX(0,C47-F47)</f>
        <v>69162.9958339288</v>
      </c>
      <c r="I47" s="31" t="n">
        <f aca="false">IF($B47&lt;=A_Laufzeit,C47*MAX(0,$C$16-D47),0)</f>
        <v>0</v>
      </c>
    </row>
    <row r="48" customFormat="false" ht="15" hidden="false" customHeight="false" outlineLevel="0" collapsed="false">
      <c r="B48" s="36" t="n">
        <v>22</v>
      </c>
      <c r="C48" s="31" t="n">
        <f aca="false">H47</f>
        <v>69162.9958339288</v>
      </c>
      <c r="D48" s="34" t="n">
        <f aca="false">IF($B48&lt;=A_Zinsbindung,$C$10,A_Zins_Anschluss)</f>
        <v>0.045</v>
      </c>
      <c r="E48" s="31" t="n">
        <f aca="false">IF($B48&lt;=A_Laufzeit,C48*D48,0)</f>
        <v>3112.3348125268</v>
      </c>
      <c r="F48" s="31" t="n">
        <f aca="false">IF($B48&lt;=A_Laufzeit,G48-E48,0)</f>
        <v>2887.6651874732</v>
      </c>
      <c r="G48" s="31" t="n">
        <f aca="false">IF($B48&lt;=A_Laufzeit,IF($B48&lt;=A_KfW_tf,E48,$C$21),0)</f>
        <v>6000</v>
      </c>
      <c r="H48" s="31" t="n">
        <f aca="false">MAX(0,C48-F48)</f>
        <v>66275.3306464556</v>
      </c>
      <c r="I48" s="31" t="n">
        <f aca="false">IF($B48&lt;=A_Laufzeit,C48*MAX(0,$C$16-D48),0)</f>
        <v>0</v>
      </c>
    </row>
    <row r="49" customFormat="false" ht="15" hidden="false" customHeight="false" outlineLevel="0" collapsed="false">
      <c r="B49" s="36" t="n">
        <v>23</v>
      </c>
      <c r="C49" s="31" t="n">
        <f aca="false">H48</f>
        <v>66275.3306464556</v>
      </c>
      <c r="D49" s="34" t="n">
        <f aca="false">IF($B49&lt;=A_Zinsbindung,$C$10,A_Zins_Anschluss)</f>
        <v>0.045</v>
      </c>
      <c r="E49" s="31" t="n">
        <f aca="false">IF($B49&lt;=A_Laufzeit,C49*D49,0)</f>
        <v>2982.3898790905</v>
      </c>
      <c r="F49" s="31" t="n">
        <f aca="false">IF($B49&lt;=A_Laufzeit,G49-E49,0)</f>
        <v>3017.6101209095</v>
      </c>
      <c r="G49" s="31" t="n">
        <f aca="false">IF($B49&lt;=A_Laufzeit,IF($B49&lt;=A_KfW_tf,E49,$C$21),0)</f>
        <v>6000</v>
      </c>
      <c r="H49" s="31" t="n">
        <f aca="false">MAX(0,C49-F49)</f>
        <v>63257.7205255461</v>
      </c>
      <c r="I49" s="31" t="n">
        <f aca="false">IF($B49&lt;=A_Laufzeit,C49*MAX(0,$C$16-D49),0)</f>
        <v>0</v>
      </c>
    </row>
    <row r="50" customFormat="false" ht="15" hidden="false" customHeight="false" outlineLevel="0" collapsed="false">
      <c r="B50" s="36" t="n">
        <v>24</v>
      </c>
      <c r="C50" s="31" t="n">
        <f aca="false">H49</f>
        <v>63257.7205255461</v>
      </c>
      <c r="D50" s="34" t="n">
        <f aca="false">IF($B50&lt;=A_Zinsbindung,$C$10,A_Zins_Anschluss)</f>
        <v>0.045</v>
      </c>
      <c r="E50" s="31" t="n">
        <f aca="false">IF($B50&lt;=A_Laufzeit,C50*D50,0)</f>
        <v>2846.59742364957</v>
      </c>
      <c r="F50" s="31" t="n">
        <f aca="false">IF($B50&lt;=A_Laufzeit,G50-E50,0)</f>
        <v>3153.40257635043</v>
      </c>
      <c r="G50" s="31" t="n">
        <f aca="false">IF($B50&lt;=A_Laufzeit,IF($B50&lt;=A_KfW_tf,E50,$C$21),0)</f>
        <v>6000</v>
      </c>
      <c r="H50" s="31" t="n">
        <f aca="false">MAX(0,C50-F50)</f>
        <v>60104.3179491957</v>
      </c>
      <c r="I50" s="31" t="n">
        <f aca="false">IF($B50&lt;=A_Laufzeit,C50*MAX(0,$C$16-D50),0)</f>
        <v>0</v>
      </c>
    </row>
    <row r="51" customFormat="false" ht="15" hidden="false" customHeight="false" outlineLevel="0" collapsed="false">
      <c r="B51" s="36" t="n">
        <v>25</v>
      </c>
      <c r="C51" s="31" t="n">
        <f aca="false">H50</f>
        <v>60104.3179491957</v>
      </c>
      <c r="D51" s="34" t="n">
        <f aca="false">IF($B51&lt;=A_Zinsbindung,$C$10,A_Zins_Anschluss)</f>
        <v>0.045</v>
      </c>
      <c r="E51" s="31" t="n">
        <f aca="false">IF($B51&lt;=A_Laufzeit,C51*D51,0)</f>
        <v>2704.69430771381</v>
      </c>
      <c r="F51" s="31" t="n">
        <f aca="false">IF($B51&lt;=A_Laufzeit,G51-E51,0)</f>
        <v>3295.3056922862</v>
      </c>
      <c r="G51" s="31" t="n">
        <f aca="false">IF($B51&lt;=A_Laufzeit,IF($B51&lt;=A_KfW_tf,E51,$C$21),0)</f>
        <v>6000</v>
      </c>
      <c r="H51" s="31" t="n">
        <f aca="false">MAX(0,C51-F51)</f>
        <v>56809.0122569095</v>
      </c>
      <c r="I51" s="31" t="n">
        <f aca="false">IF($B51&lt;=A_Laufzeit,C51*MAX(0,$C$16-D51),0)</f>
        <v>0</v>
      </c>
    </row>
    <row r="52" customFormat="false" ht="15" hidden="false" customHeight="false" outlineLevel="0" collapsed="false">
      <c r="B52" s="36" t="n">
        <v>26</v>
      </c>
      <c r="C52" s="31" t="n">
        <f aca="false">H51</f>
        <v>56809.0122569095</v>
      </c>
      <c r="D52" s="34" t="n">
        <f aca="false">IF($B52&lt;=A_Zinsbindung,$C$10,A_Zins_Anschluss)</f>
        <v>0.045</v>
      </c>
      <c r="E52" s="31" t="n">
        <f aca="false">IF($B52&lt;=A_Laufzeit,C52*D52,0)</f>
        <v>2556.40555156093</v>
      </c>
      <c r="F52" s="31" t="n">
        <f aca="false">IF($B52&lt;=A_Laufzeit,G52-E52,0)</f>
        <v>3443.59444843907</v>
      </c>
      <c r="G52" s="31" t="n">
        <f aca="false">IF($B52&lt;=A_Laufzeit,IF($B52&lt;=A_KfW_tf,E52,$C$21),0)</f>
        <v>6000</v>
      </c>
      <c r="H52" s="31" t="n">
        <f aca="false">MAX(0,C52-F52)</f>
        <v>53365.4178084704</v>
      </c>
      <c r="I52" s="31" t="n">
        <f aca="false">IF($B52&lt;=A_Laufzeit,C52*MAX(0,$C$16-D52),0)</f>
        <v>0</v>
      </c>
    </row>
    <row r="53" customFormat="false" ht="15" hidden="false" customHeight="false" outlineLevel="0" collapsed="false">
      <c r="B53" s="36" t="n">
        <v>27</v>
      </c>
      <c r="C53" s="31" t="n">
        <f aca="false">H52</f>
        <v>53365.4178084704</v>
      </c>
      <c r="D53" s="34" t="n">
        <f aca="false">IF($B53&lt;=A_Zinsbindung,$C$10,A_Zins_Anschluss)</f>
        <v>0.045</v>
      </c>
      <c r="E53" s="31" t="n">
        <f aca="false">IF($B53&lt;=A_Laufzeit,C53*D53,0)</f>
        <v>2401.44380138117</v>
      </c>
      <c r="F53" s="31" t="n">
        <f aca="false">IF($B53&lt;=A_Laufzeit,G53-E53,0)</f>
        <v>3598.55619861883</v>
      </c>
      <c r="G53" s="31" t="n">
        <f aca="false">IF($B53&lt;=A_Laufzeit,IF($B53&lt;=A_KfW_tf,E53,$C$21),0)</f>
        <v>6000</v>
      </c>
      <c r="H53" s="31" t="n">
        <f aca="false">MAX(0,C53-F53)</f>
        <v>49766.8616098516</v>
      </c>
      <c r="I53" s="31" t="n">
        <f aca="false">IF($B53&lt;=A_Laufzeit,C53*MAX(0,$C$16-D53),0)</f>
        <v>0</v>
      </c>
    </row>
    <row r="54" customFormat="false" ht="15" hidden="false" customHeight="false" outlineLevel="0" collapsed="false">
      <c r="B54" s="36" t="n">
        <v>28</v>
      </c>
      <c r="C54" s="31" t="n">
        <f aca="false">H53</f>
        <v>49766.8616098516</v>
      </c>
      <c r="D54" s="34" t="n">
        <f aca="false">IF($B54&lt;=A_Zinsbindung,$C$10,A_Zins_Anschluss)</f>
        <v>0.045</v>
      </c>
      <c r="E54" s="31" t="n">
        <f aca="false">IF($B54&lt;=A_Laufzeit,C54*D54,0)</f>
        <v>2239.50877244332</v>
      </c>
      <c r="F54" s="31" t="n">
        <f aca="false">IF($B54&lt;=A_Laufzeit,G54-E54,0)</f>
        <v>3760.49122755668</v>
      </c>
      <c r="G54" s="31" t="n">
        <f aca="false">IF($B54&lt;=A_Laufzeit,IF($B54&lt;=A_KfW_tf,E54,$C$21),0)</f>
        <v>6000</v>
      </c>
      <c r="H54" s="31" t="n">
        <f aca="false">MAX(0,C54-F54)</f>
        <v>46006.3703822949</v>
      </c>
      <c r="I54" s="31" t="n">
        <f aca="false">IF($B54&lt;=A_Laufzeit,C54*MAX(0,$C$16-D54),0)</f>
        <v>0</v>
      </c>
    </row>
    <row r="55" customFormat="false" ht="15" hidden="false" customHeight="false" outlineLevel="0" collapsed="false">
      <c r="B55" s="36" t="n">
        <v>29</v>
      </c>
      <c r="C55" s="31" t="n">
        <f aca="false">H54</f>
        <v>46006.3703822949</v>
      </c>
      <c r="D55" s="34" t="n">
        <f aca="false">IF($B55&lt;=A_Zinsbindung,$C$10,A_Zins_Anschluss)</f>
        <v>0.045</v>
      </c>
      <c r="E55" s="31" t="n">
        <f aca="false">IF($B55&lt;=A_Laufzeit,C55*D55,0)</f>
        <v>2070.28666720327</v>
      </c>
      <c r="F55" s="31" t="n">
        <f aca="false">IF($B55&lt;=A_Laufzeit,G55-E55,0)</f>
        <v>3929.71333279673</v>
      </c>
      <c r="G55" s="31" t="n">
        <f aca="false">IF($B55&lt;=A_Laufzeit,IF($B55&lt;=A_KfW_tf,E55,$C$21),0)</f>
        <v>6000</v>
      </c>
      <c r="H55" s="31" t="n">
        <f aca="false">MAX(0,C55-F55)</f>
        <v>42076.6570494982</v>
      </c>
      <c r="I55" s="31" t="n">
        <f aca="false">IF($B55&lt;=A_Laufzeit,C55*MAX(0,$C$16-D55),0)</f>
        <v>0</v>
      </c>
    </row>
    <row r="56" customFormat="false" ht="15" hidden="false" customHeight="false" outlineLevel="0" collapsed="false">
      <c r="B56" s="36" t="n">
        <v>30</v>
      </c>
      <c r="C56" s="31" t="n">
        <f aca="false">H55</f>
        <v>42076.6570494982</v>
      </c>
      <c r="D56" s="34" t="n">
        <f aca="false">IF($B56&lt;=A_Zinsbindung,$C$10,A_Zins_Anschluss)</f>
        <v>0.045</v>
      </c>
      <c r="E56" s="31" t="n">
        <f aca="false">IF($B56&lt;=A_Laufzeit,C56*D56,0)</f>
        <v>1893.44956722742</v>
      </c>
      <c r="F56" s="31" t="n">
        <f aca="false">IF($B56&lt;=A_Laufzeit,G56-E56,0)</f>
        <v>4106.55043277258</v>
      </c>
      <c r="G56" s="31" t="n">
        <f aca="false">IF($B56&lt;=A_Laufzeit,IF($B56&lt;=A_KfW_tf,E56,$C$21),0)</f>
        <v>6000</v>
      </c>
      <c r="H56" s="31" t="n">
        <f aca="false">MAX(0,C56-F56)</f>
        <v>37970.1066167256</v>
      </c>
      <c r="I56" s="31" t="n">
        <f aca="false">IF($B56&lt;=A_Laufzeit,C56*MAX(0,$C$16-D56),0)</f>
        <v>0</v>
      </c>
    </row>
    <row r="57" customFormat="false" ht="15" hidden="false" customHeight="false" outlineLevel="0" collapsed="false">
      <c r="B57" s="36" t="n">
        <v>31</v>
      </c>
      <c r="C57" s="31" t="n">
        <f aca="false">H56</f>
        <v>37970.1066167256</v>
      </c>
      <c r="D57" s="34" t="n">
        <f aca="false">IF($B57&lt;=A_Zinsbindung,$C$10,A_Zins_Anschluss)</f>
        <v>0.045</v>
      </c>
      <c r="E57" s="31" t="n">
        <f aca="false">IF($B57&lt;=A_Laufzeit,C57*D57,0)</f>
        <v>0</v>
      </c>
      <c r="F57" s="31" t="n">
        <f aca="false">IF($B57&lt;=A_Laufzeit,G57-E57,0)</f>
        <v>0</v>
      </c>
      <c r="G57" s="31" t="n">
        <f aca="false">IF($B57&lt;=A_Laufzeit,IF($B57&lt;=A_KfW_tf,E57,$C$21),0)</f>
        <v>0</v>
      </c>
      <c r="H57" s="31" t="n">
        <f aca="false">MAX(0,C57-F57)</f>
        <v>37970.1066167256</v>
      </c>
      <c r="I57" s="31" t="n">
        <f aca="false">IF($B57&lt;=A_Laufzeit,C57*MAX(0,$C$16-D57),0)</f>
        <v>0</v>
      </c>
    </row>
    <row r="58" customFormat="false" ht="15" hidden="false" customHeight="false" outlineLevel="0" collapsed="false">
      <c r="B58" s="36" t="n">
        <v>32</v>
      </c>
      <c r="C58" s="31" t="n">
        <f aca="false">H57</f>
        <v>37970.1066167256</v>
      </c>
      <c r="D58" s="34" t="n">
        <f aca="false">IF($B58&lt;=A_Zinsbindung,$C$10,A_Zins_Anschluss)</f>
        <v>0.045</v>
      </c>
      <c r="E58" s="31" t="n">
        <f aca="false">IF($B58&lt;=A_Laufzeit,C58*D58,0)</f>
        <v>0</v>
      </c>
      <c r="F58" s="31" t="n">
        <f aca="false">IF($B58&lt;=A_Laufzeit,G58-E58,0)</f>
        <v>0</v>
      </c>
      <c r="G58" s="31" t="n">
        <f aca="false">IF($B58&lt;=A_Laufzeit,IF($B58&lt;=A_KfW_tf,E58,$C$21),0)</f>
        <v>0</v>
      </c>
      <c r="H58" s="31" t="n">
        <f aca="false">MAX(0,C58-F58)</f>
        <v>37970.1066167256</v>
      </c>
      <c r="I58" s="31" t="n">
        <f aca="false">IF($B58&lt;=A_Laufzeit,C58*MAX(0,$C$16-D58),0)</f>
        <v>0</v>
      </c>
    </row>
    <row r="59" customFormat="false" ht="15" hidden="false" customHeight="false" outlineLevel="0" collapsed="false">
      <c r="B59" s="36" t="n">
        <v>33</v>
      </c>
      <c r="C59" s="31" t="n">
        <f aca="false">H58</f>
        <v>37970.1066167256</v>
      </c>
      <c r="D59" s="34" t="n">
        <f aca="false">IF($B59&lt;=A_Zinsbindung,$C$10,A_Zins_Anschluss)</f>
        <v>0.045</v>
      </c>
      <c r="E59" s="31" t="n">
        <f aca="false">IF($B59&lt;=A_Laufzeit,C59*D59,0)</f>
        <v>0</v>
      </c>
      <c r="F59" s="31" t="n">
        <f aca="false">IF($B59&lt;=A_Laufzeit,G59-E59,0)</f>
        <v>0</v>
      </c>
      <c r="G59" s="31" t="n">
        <f aca="false">IF($B59&lt;=A_Laufzeit,IF($B59&lt;=A_KfW_tf,E59,$C$21),0)</f>
        <v>0</v>
      </c>
      <c r="H59" s="31" t="n">
        <f aca="false">MAX(0,C59-F59)</f>
        <v>37970.1066167256</v>
      </c>
      <c r="I59" s="31" t="n">
        <f aca="false">IF($B59&lt;=A_Laufzeit,C59*MAX(0,$C$16-D59),0)</f>
        <v>0</v>
      </c>
    </row>
    <row r="60" customFormat="false" ht="15" hidden="false" customHeight="false" outlineLevel="0" collapsed="false">
      <c r="B60" s="36" t="n">
        <v>34</v>
      </c>
      <c r="C60" s="31" t="n">
        <f aca="false">H59</f>
        <v>37970.1066167256</v>
      </c>
      <c r="D60" s="34" t="n">
        <f aca="false">IF($B60&lt;=A_Zinsbindung,$C$10,A_Zins_Anschluss)</f>
        <v>0.045</v>
      </c>
      <c r="E60" s="31" t="n">
        <f aca="false">IF($B60&lt;=A_Laufzeit,C60*D60,0)</f>
        <v>0</v>
      </c>
      <c r="F60" s="31" t="n">
        <f aca="false">IF($B60&lt;=A_Laufzeit,G60-E60,0)</f>
        <v>0</v>
      </c>
      <c r="G60" s="31" t="n">
        <f aca="false">IF($B60&lt;=A_Laufzeit,IF($B60&lt;=A_KfW_tf,E60,$C$21),0)</f>
        <v>0</v>
      </c>
      <c r="H60" s="31" t="n">
        <f aca="false">MAX(0,C60-F60)</f>
        <v>37970.1066167256</v>
      </c>
      <c r="I60" s="31" t="n">
        <f aca="false">IF($B60&lt;=A_Laufzeit,C60*MAX(0,$C$16-D60),0)</f>
        <v>0</v>
      </c>
    </row>
    <row r="61" customFormat="false" ht="15" hidden="false" customHeight="false" outlineLevel="0" collapsed="false">
      <c r="B61" s="36" t="n">
        <v>35</v>
      </c>
      <c r="C61" s="31" t="n">
        <f aca="false">H60</f>
        <v>37970.1066167256</v>
      </c>
      <c r="D61" s="34" t="n">
        <f aca="false">IF($B61&lt;=A_Zinsbindung,$C$10,A_Zins_Anschluss)</f>
        <v>0.045</v>
      </c>
      <c r="E61" s="31" t="n">
        <f aca="false">IF($B61&lt;=A_Laufzeit,C61*D61,0)</f>
        <v>0</v>
      </c>
      <c r="F61" s="31" t="n">
        <f aca="false">IF($B61&lt;=A_Laufzeit,G61-E61,0)</f>
        <v>0</v>
      </c>
      <c r="G61" s="31" t="n">
        <f aca="false">IF($B61&lt;=A_Laufzeit,IF($B61&lt;=A_KfW_tf,E61,$C$21),0)</f>
        <v>0</v>
      </c>
      <c r="H61" s="31" t="n">
        <f aca="false">MAX(0,C61-F61)</f>
        <v>37970.1066167256</v>
      </c>
      <c r="I61" s="31" t="n">
        <f aca="false">IF($B61&lt;=A_Laufzeit,C61*MAX(0,$C$16-D61),0)</f>
        <v>0</v>
      </c>
    </row>
    <row r="63" customFormat="false" ht="15" hidden="false" customHeight="false" outlineLevel="0" collapsed="false">
      <c r="B63" s="14" t="s">
        <v>683</v>
      </c>
      <c r="C63" s="14"/>
      <c r="D63" s="14"/>
      <c r="E63" s="14"/>
      <c r="F63" s="14"/>
      <c r="G63" s="14"/>
      <c r="H63" s="14"/>
      <c r="I63" s="14"/>
    </row>
    <row r="64" customFormat="false" ht="23.85" hidden="false" customHeight="false" outlineLevel="0" collapsed="false">
      <c r="B64" s="11" t="s">
        <v>51</v>
      </c>
      <c r="C64" s="11" t="s">
        <v>676</v>
      </c>
      <c r="D64" s="11" t="s">
        <v>677</v>
      </c>
      <c r="E64" s="11" t="s">
        <v>678</v>
      </c>
      <c r="F64" s="11" t="s">
        <v>679</v>
      </c>
      <c r="G64" s="11" t="s">
        <v>680</v>
      </c>
      <c r="H64" s="11" t="s">
        <v>681</v>
      </c>
      <c r="I64" s="11" t="s">
        <v>682</v>
      </c>
    </row>
    <row r="65" customFormat="false" ht="15" hidden="false" customHeight="false" outlineLevel="0" collapsed="false">
      <c r="B65" s="36" t="n">
        <v>1</v>
      </c>
      <c r="C65" s="31" t="n">
        <f aca="false">C14</f>
        <v>408624.449780575</v>
      </c>
      <c r="D65" s="34" t="n">
        <f aca="false">IF($B65&lt;=A_Zinsbindung,$C$17,A_Zins_Anschluss)</f>
        <v>0.0375</v>
      </c>
      <c r="E65" s="31" t="n">
        <f aca="false">IF($B65&lt;=A_Laufzeit,C65*D65,0)</f>
        <v>15323.4168667716</v>
      </c>
      <c r="F65" s="31" t="n">
        <f aca="false">IF($B65&lt;=A_Laufzeit,G65-E65,0)</f>
        <v>10215.6112445144</v>
      </c>
      <c r="G65" s="31" t="n">
        <f aca="false">IF($B65&lt;=A_Laufzeit,IF($B65&lt;=0,E65,$C$22),0)</f>
        <v>25539.028111286</v>
      </c>
      <c r="H65" s="31" t="n">
        <f aca="false">MAX(0,C65-F65)</f>
        <v>398408.838536061</v>
      </c>
      <c r="I65" s="31" t="n">
        <f aca="false">IF($B65&lt;=A_Laufzeit,C65*MAX(0,$C$17-D65),0)</f>
        <v>0</v>
      </c>
    </row>
    <row r="66" customFormat="false" ht="15" hidden="false" customHeight="false" outlineLevel="0" collapsed="false">
      <c r="B66" s="36" t="n">
        <v>2</v>
      </c>
      <c r="C66" s="31" t="n">
        <f aca="false">H65</f>
        <v>398408.838536061</v>
      </c>
      <c r="D66" s="34" t="n">
        <f aca="false">IF($B66&lt;=A_Zinsbindung,$C$17,A_Zins_Anschluss)</f>
        <v>0.0375</v>
      </c>
      <c r="E66" s="31" t="n">
        <f aca="false">IF($B66&lt;=A_Laufzeit,C66*D66,0)</f>
        <v>14940.3314451023</v>
      </c>
      <c r="F66" s="31" t="n">
        <f aca="false">IF($B66&lt;=A_Laufzeit,G66-E66,0)</f>
        <v>10598.6966661837</v>
      </c>
      <c r="G66" s="31" t="n">
        <f aca="false">IF($B66&lt;=A_Laufzeit,IF($B66&lt;=0,E66,$C$22),0)</f>
        <v>25539.028111286</v>
      </c>
      <c r="H66" s="31" t="n">
        <f aca="false">MAX(0,C66-F66)</f>
        <v>387810.141869877</v>
      </c>
      <c r="I66" s="31" t="n">
        <f aca="false">IF($B66&lt;=A_Laufzeit,C66*MAX(0,$C$17-D66),0)</f>
        <v>0</v>
      </c>
    </row>
    <row r="67" customFormat="false" ht="15" hidden="false" customHeight="false" outlineLevel="0" collapsed="false">
      <c r="B67" s="36" t="n">
        <v>3</v>
      </c>
      <c r="C67" s="31" t="n">
        <f aca="false">H66</f>
        <v>387810.141869877</v>
      </c>
      <c r="D67" s="34" t="n">
        <f aca="false">IF($B67&lt;=A_Zinsbindung,$C$17,A_Zins_Anschluss)</f>
        <v>0.0375</v>
      </c>
      <c r="E67" s="31" t="n">
        <f aca="false">IF($B67&lt;=A_Laufzeit,C67*D67,0)</f>
        <v>14542.8803201204</v>
      </c>
      <c r="F67" s="31" t="n">
        <f aca="false">IF($B67&lt;=A_Laufzeit,G67-E67,0)</f>
        <v>10996.1477911656</v>
      </c>
      <c r="G67" s="31" t="n">
        <f aca="false">IF($B67&lt;=A_Laufzeit,IF($B67&lt;=0,E67,$C$22),0)</f>
        <v>25539.028111286</v>
      </c>
      <c r="H67" s="31" t="n">
        <f aca="false">MAX(0,C67-F67)</f>
        <v>376813.994078712</v>
      </c>
      <c r="I67" s="31" t="n">
        <f aca="false">IF($B67&lt;=A_Laufzeit,C67*MAX(0,$C$17-D67),0)</f>
        <v>0</v>
      </c>
    </row>
    <row r="68" customFormat="false" ht="15" hidden="false" customHeight="false" outlineLevel="0" collapsed="false">
      <c r="B68" s="36" t="n">
        <v>4</v>
      </c>
      <c r="C68" s="31" t="n">
        <f aca="false">H67</f>
        <v>376813.994078712</v>
      </c>
      <c r="D68" s="34" t="n">
        <f aca="false">IF($B68&lt;=A_Zinsbindung,$C$17,A_Zins_Anschluss)</f>
        <v>0.0375</v>
      </c>
      <c r="E68" s="31" t="n">
        <f aca="false">IF($B68&lt;=A_Laufzeit,C68*D68,0)</f>
        <v>14130.5247779517</v>
      </c>
      <c r="F68" s="31" t="n">
        <f aca="false">IF($B68&lt;=A_Laufzeit,G68-E68,0)</f>
        <v>11408.5033333343</v>
      </c>
      <c r="G68" s="31" t="n">
        <f aca="false">IF($B68&lt;=A_Laufzeit,IF($B68&lt;=0,E68,$C$22),0)</f>
        <v>25539.028111286</v>
      </c>
      <c r="H68" s="31" t="n">
        <f aca="false">MAX(0,C68-F68)</f>
        <v>365405.490745377</v>
      </c>
      <c r="I68" s="31" t="n">
        <f aca="false">IF($B68&lt;=A_Laufzeit,C68*MAX(0,$C$17-D68),0)</f>
        <v>0</v>
      </c>
    </row>
    <row r="69" customFormat="false" ht="15" hidden="false" customHeight="false" outlineLevel="0" collapsed="false">
      <c r="B69" s="36" t="n">
        <v>5</v>
      </c>
      <c r="C69" s="31" t="n">
        <f aca="false">H68</f>
        <v>365405.490745377</v>
      </c>
      <c r="D69" s="34" t="n">
        <f aca="false">IF($B69&lt;=A_Zinsbindung,$C$17,A_Zins_Anschluss)</f>
        <v>0.0375</v>
      </c>
      <c r="E69" s="31" t="n">
        <f aca="false">IF($B69&lt;=A_Laufzeit,C69*D69,0)</f>
        <v>13702.7059029517</v>
      </c>
      <c r="F69" s="31" t="n">
        <f aca="false">IF($B69&lt;=A_Laufzeit,G69-E69,0)</f>
        <v>11836.3222083343</v>
      </c>
      <c r="G69" s="31" t="n">
        <f aca="false">IF($B69&lt;=A_Laufzeit,IF($B69&lt;=0,E69,$C$22),0)</f>
        <v>25539.028111286</v>
      </c>
      <c r="H69" s="31" t="n">
        <f aca="false">MAX(0,C69-F69)</f>
        <v>353569.168537043</v>
      </c>
      <c r="I69" s="31" t="n">
        <f aca="false">IF($B69&lt;=A_Laufzeit,C69*MAX(0,$C$17-D69),0)</f>
        <v>0</v>
      </c>
    </row>
    <row r="70" customFormat="false" ht="15" hidden="false" customHeight="false" outlineLevel="0" collapsed="false">
      <c r="B70" s="36" t="n">
        <v>6</v>
      </c>
      <c r="C70" s="31" t="n">
        <f aca="false">H69</f>
        <v>353569.168537043</v>
      </c>
      <c r="D70" s="34" t="n">
        <f aca="false">IF($B70&lt;=A_Zinsbindung,$C$17,A_Zins_Anschluss)</f>
        <v>0.0375</v>
      </c>
      <c r="E70" s="31" t="n">
        <f aca="false">IF($B70&lt;=A_Laufzeit,C70*D70,0)</f>
        <v>13258.8438201391</v>
      </c>
      <c r="F70" s="31" t="n">
        <f aca="false">IF($B70&lt;=A_Laufzeit,G70-E70,0)</f>
        <v>12280.1842911468</v>
      </c>
      <c r="G70" s="31" t="n">
        <f aca="false">IF($B70&lt;=A_Laufzeit,IF($B70&lt;=0,E70,$C$22),0)</f>
        <v>25539.028111286</v>
      </c>
      <c r="H70" s="31" t="n">
        <f aca="false">MAX(0,C70-F70)</f>
        <v>341288.984245896</v>
      </c>
      <c r="I70" s="31" t="n">
        <f aca="false">IF($B70&lt;=A_Laufzeit,C70*MAX(0,$C$17-D70),0)</f>
        <v>0</v>
      </c>
    </row>
    <row r="71" customFormat="false" ht="15" hidden="false" customHeight="false" outlineLevel="0" collapsed="false">
      <c r="B71" s="36" t="n">
        <v>7</v>
      </c>
      <c r="C71" s="31" t="n">
        <f aca="false">H70</f>
        <v>341288.984245896</v>
      </c>
      <c r="D71" s="34" t="n">
        <f aca="false">IF($B71&lt;=A_Zinsbindung,$C$17,A_Zins_Anschluss)</f>
        <v>0.0375</v>
      </c>
      <c r="E71" s="31" t="n">
        <f aca="false">IF($B71&lt;=A_Laufzeit,C71*D71,0)</f>
        <v>12798.3369092211</v>
      </c>
      <c r="F71" s="31" t="n">
        <f aca="false">IF($B71&lt;=A_Laufzeit,G71-E71,0)</f>
        <v>12740.6912020648</v>
      </c>
      <c r="G71" s="31" t="n">
        <f aca="false">IF($B71&lt;=A_Laufzeit,IF($B71&lt;=0,E71,$C$22),0)</f>
        <v>25539.028111286</v>
      </c>
      <c r="H71" s="31" t="n">
        <f aca="false">MAX(0,C71-F71)</f>
        <v>328548.293043832</v>
      </c>
      <c r="I71" s="31" t="n">
        <f aca="false">IF($B71&lt;=A_Laufzeit,C71*MAX(0,$C$17-D71),0)</f>
        <v>0</v>
      </c>
    </row>
    <row r="72" customFormat="false" ht="15" hidden="false" customHeight="false" outlineLevel="0" collapsed="false">
      <c r="B72" s="36" t="n">
        <v>8</v>
      </c>
      <c r="C72" s="31" t="n">
        <f aca="false">H71</f>
        <v>328548.293043832</v>
      </c>
      <c r="D72" s="34" t="n">
        <f aca="false">IF($B72&lt;=A_Zinsbindung,$C$17,A_Zins_Anschluss)</f>
        <v>0.0375</v>
      </c>
      <c r="E72" s="31" t="n">
        <f aca="false">IF($B72&lt;=A_Laufzeit,C72*D72,0)</f>
        <v>12320.5609891437</v>
      </c>
      <c r="F72" s="31" t="n">
        <f aca="false">IF($B72&lt;=A_Laufzeit,G72-E72,0)</f>
        <v>13218.4671221423</v>
      </c>
      <c r="G72" s="31" t="n">
        <f aca="false">IF($B72&lt;=A_Laufzeit,IF($B72&lt;=0,E72,$C$22),0)</f>
        <v>25539.028111286</v>
      </c>
      <c r="H72" s="31" t="n">
        <f aca="false">MAX(0,C72-F72)</f>
        <v>315329.825921689</v>
      </c>
      <c r="I72" s="31" t="n">
        <f aca="false">IF($B72&lt;=A_Laufzeit,C72*MAX(0,$C$17-D72),0)</f>
        <v>0</v>
      </c>
    </row>
    <row r="73" customFormat="false" ht="15" hidden="false" customHeight="false" outlineLevel="0" collapsed="false">
      <c r="B73" s="36" t="n">
        <v>9</v>
      </c>
      <c r="C73" s="31" t="n">
        <f aca="false">H72</f>
        <v>315329.825921689</v>
      </c>
      <c r="D73" s="34" t="n">
        <f aca="false">IF($B73&lt;=A_Zinsbindung,$C$17,A_Zins_Anschluss)</f>
        <v>0.0375</v>
      </c>
      <c r="E73" s="31" t="n">
        <f aca="false">IF($B73&lt;=A_Laufzeit,C73*D73,0)</f>
        <v>11824.8684720633</v>
      </c>
      <c r="F73" s="31" t="n">
        <f aca="false">IF($B73&lt;=A_Laufzeit,G73-E73,0)</f>
        <v>13714.1596392226</v>
      </c>
      <c r="G73" s="31" t="n">
        <f aca="false">IF($B73&lt;=A_Laufzeit,IF($B73&lt;=0,E73,$C$22),0)</f>
        <v>25539.028111286</v>
      </c>
      <c r="H73" s="31" t="n">
        <f aca="false">MAX(0,C73-F73)</f>
        <v>301615.666282467</v>
      </c>
      <c r="I73" s="31" t="n">
        <f aca="false">IF($B73&lt;=A_Laufzeit,C73*MAX(0,$C$17-D73),0)</f>
        <v>0</v>
      </c>
    </row>
    <row r="74" customFormat="false" ht="15" hidden="false" customHeight="false" outlineLevel="0" collapsed="false">
      <c r="B74" s="36" t="n">
        <v>10</v>
      </c>
      <c r="C74" s="31" t="n">
        <f aca="false">H73</f>
        <v>301615.666282467</v>
      </c>
      <c r="D74" s="34" t="n">
        <f aca="false">IF($B74&lt;=A_Zinsbindung,$C$17,A_Zins_Anschluss)</f>
        <v>0.0375</v>
      </c>
      <c r="E74" s="31" t="n">
        <f aca="false">IF($B74&lt;=A_Laufzeit,C74*D74,0)</f>
        <v>11310.5874855925</v>
      </c>
      <c r="F74" s="31" t="n">
        <f aca="false">IF($B74&lt;=A_Laufzeit,G74-E74,0)</f>
        <v>14228.4406256935</v>
      </c>
      <c r="G74" s="31" t="n">
        <f aca="false">IF($B74&lt;=A_Laufzeit,IF($B74&lt;=0,E74,$C$22),0)</f>
        <v>25539.028111286</v>
      </c>
      <c r="H74" s="31" t="n">
        <f aca="false">MAX(0,C74-F74)</f>
        <v>287387.225656773</v>
      </c>
      <c r="I74" s="31" t="n">
        <f aca="false">IF($B74&lt;=A_Laufzeit,C74*MAX(0,$C$17-D74),0)</f>
        <v>0</v>
      </c>
    </row>
    <row r="75" customFormat="false" ht="15" hidden="false" customHeight="false" outlineLevel="0" collapsed="false">
      <c r="B75" s="36" t="n">
        <v>11</v>
      </c>
      <c r="C75" s="31" t="n">
        <f aca="false">H74</f>
        <v>287387.225656773</v>
      </c>
      <c r="D75" s="34" t="n">
        <f aca="false">IF($B75&lt;=A_Zinsbindung,$C$17,A_Zins_Anschluss)</f>
        <v>0.045</v>
      </c>
      <c r="E75" s="31" t="n">
        <f aca="false">IF($B75&lt;=A_Laufzeit,C75*D75,0)</f>
        <v>12932.4251545548</v>
      </c>
      <c r="F75" s="31" t="n">
        <f aca="false">IF($B75&lt;=A_Laufzeit,G75-E75,0)</f>
        <v>12606.6029567312</v>
      </c>
      <c r="G75" s="31" t="n">
        <f aca="false">IF($B75&lt;=A_Laufzeit,IF($B75&lt;=0,E75,$C$22),0)</f>
        <v>25539.028111286</v>
      </c>
      <c r="H75" s="31" t="n">
        <f aca="false">MAX(0,C75-F75)</f>
        <v>274780.622700042</v>
      </c>
      <c r="I75" s="31" t="n">
        <f aca="false">IF($B75&lt;=A_Laufzeit,C75*MAX(0,$C$17-D75),0)</f>
        <v>0</v>
      </c>
    </row>
    <row r="76" customFormat="false" ht="15" hidden="false" customHeight="false" outlineLevel="0" collapsed="false">
      <c r="B76" s="36" t="n">
        <v>12</v>
      </c>
      <c r="C76" s="31" t="n">
        <f aca="false">H75</f>
        <v>274780.622700042</v>
      </c>
      <c r="D76" s="34" t="n">
        <f aca="false">IF($B76&lt;=A_Zinsbindung,$C$17,A_Zins_Anschluss)</f>
        <v>0.045</v>
      </c>
      <c r="E76" s="31" t="n">
        <f aca="false">IF($B76&lt;=A_Laufzeit,C76*D76,0)</f>
        <v>12365.1280215019</v>
      </c>
      <c r="F76" s="31" t="n">
        <f aca="false">IF($B76&lt;=A_Laufzeit,G76-E76,0)</f>
        <v>13173.9000897841</v>
      </c>
      <c r="G76" s="31" t="n">
        <f aca="false">IF($B76&lt;=A_Laufzeit,IF($B76&lt;=0,E76,$C$22),0)</f>
        <v>25539.028111286</v>
      </c>
      <c r="H76" s="31" t="n">
        <f aca="false">MAX(0,C76-F76)</f>
        <v>261606.722610258</v>
      </c>
      <c r="I76" s="31" t="n">
        <f aca="false">IF($B76&lt;=A_Laufzeit,C76*MAX(0,$C$17-D76),0)</f>
        <v>0</v>
      </c>
    </row>
    <row r="77" customFormat="false" ht="15" hidden="false" customHeight="false" outlineLevel="0" collapsed="false">
      <c r="B77" s="36" t="n">
        <v>13</v>
      </c>
      <c r="C77" s="31" t="n">
        <f aca="false">H76</f>
        <v>261606.722610258</v>
      </c>
      <c r="D77" s="34" t="n">
        <f aca="false">IF($B77&lt;=A_Zinsbindung,$C$17,A_Zins_Anschluss)</f>
        <v>0.045</v>
      </c>
      <c r="E77" s="31" t="n">
        <f aca="false">IF($B77&lt;=A_Laufzeit,C77*D77,0)</f>
        <v>11772.3025174616</v>
      </c>
      <c r="F77" s="31" t="n">
        <f aca="false">IF($B77&lt;=A_Laufzeit,G77-E77,0)</f>
        <v>13766.7255938244</v>
      </c>
      <c r="G77" s="31" t="n">
        <f aca="false">IF($B77&lt;=A_Laufzeit,IF($B77&lt;=0,E77,$C$22),0)</f>
        <v>25539.028111286</v>
      </c>
      <c r="H77" s="31" t="n">
        <f aca="false">MAX(0,C77-F77)</f>
        <v>247839.997016434</v>
      </c>
      <c r="I77" s="31" t="n">
        <f aca="false">IF($B77&lt;=A_Laufzeit,C77*MAX(0,$C$17-D77),0)</f>
        <v>0</v>
      </c>
    </row>
    <row r="78" customFormat="false" ht="15" hidden="false" customHeight="false" outlineLevel="0" collapsed="false">
      <c r="B78" s="36" t="n">
        <v>14</v>
      </c>
      <c r="C78" s="31" t="n">
        <f aca="false">H77</f>
        <v>247839.997016434</v>
      </c>
      <c r="D78" s="34" t="n">
        <f aca="false">IF($B78&lt;=A_Zinsbindung,$C$17,A_Zins_Anschluss)</f>
        <v>0.045</v>
      </c>
      <c r="E78" s="31" t="n">
        <f aca="false">IF($B78&lt;=A_Laufzeit,C78*D78,0)</f>
        <v>11152.7998657395</v>
      </c>
      <c r="F78" s="31" t="n">
        <f aca="false">IF($B78&lt;=A_Laufzeit,G78-E78,0)</f>
        <v>14386.2282455464</v>
      </c>
      <c r="G78" s="31" t="n">
        <f aca="false">IF($B78&lt;=A_Laufzeit,IF($B78&lt;=0,E78,$C$22),0)</f>
        <v>25539.028111286</v>
      </c>
      <c r="H78" s="31" t="n">
        <f aca="false">MAX(0,C78-F78)</f>
        <v>233453.768770887</v>
      </c>
      <c r="I78" s="31" t="n">
        <f aca="false">IF($B78&lt;=A_Laufzeit,C78*MAX(0,$C$17-D78),0)</f>
        <v>0</v>
      </c>
    </row>
    <row r="79" customFormat="false" ht="15" hidden="false" customHeight="false" outlineLevel="0" collapsed="false">
      <c r="B79" s="36" t="n">
        <v>15</v>
      </c>
      <c r="C79" s="31" t="n">
        <f aca="false">H78</f>
        <v>233453.768770887</v>
      </c>
      <c r="D79" s="34" t="n">
        <f aca="false">IF($B79&lt;=A_Zinsbindung,$C$17,A_Zins_Anschluss)</f>
        <v>0.045</v>
      </c>
      <c r="E79" s="31" t="n">
        <f aca="false">IF($B79&lt;=A_Laufzeit,C79*D79,0)</f>
        <v>10505.4195946899</v>
      </c>
      <c r="F79" s="31" t="n">
        <f aca="false">IF($B79&lt;=A_Laufzeit,G79-E79,0)</f>
        <v>15033.608516596</v>
      </c>
      <c r="G79" s="31" t="n">
        <f aca="false">IF($B79&lt;=A_Laufzeit,IF($B79&lt;=0,E79,$C$22),0)</f>
        <v>25539.028111286</v>
      </c>
      <c r="H79" s="31" t="n">
        <f aca="false">MAX(0,C79-F79)</f>
        <v>218420.160254291</v>
      </c>
      <c r="I79" s="31" t="n">
        <f aca="false">IF($B79&lt;=A_Laufzeit,C79*MAX(0,$C$17-D79),0)</f>
        <v>0</v>
      </c>
    </row>
    <row r="80" customFormat="false" ht="15" hidden="false" customHeight="false" outlineLevel="0" collapsed="false">
      <c r="B80" s="36" t="n">
        <v>16</v>
      </c>
      <c r="C80" s="31" t="n">
        <f aca="false">H79</f>
        <v>218420.160254291</v>
      </c>
      <c r="D80" s="34" t="n">
        <f aca="false">IF($B80&lt;=A_Zinsbindung,$C$17,A_Zins_Anschluss)</f>
        <v>0.045</v>
      </c>
      <c r="E80" s="31" t="n">
        <f aca="false">IF($B80&lt;=A_Laufzeit,C80*D80,0)</f>
        <v>9828.9072114431</v>
      </c>
      <c r="F80" s="31" t="n">
        <f aca="false">IF($B80&lt;=A_Laufzeit,G80-E80,0)</f>
        <v>15710.1208998429</v>
      </c>
      <c r="G80" s="31" t="n">
        <f aca="false">IF($B80&lt;=A_Laufzeit,IF($B80&lt;=0,E80,$C$22),0)</f>
        <v>25539.028111286</v>
      </c>
      <c r="H80" s="31" t="n">
        <f aca="false">MAX(0,C80-F80)</f>
        <v>202710.039354448</v>
      </c>
      <c r="I80" s="31" t="n">
        <f aca="false">IF($B80&lt;=A_Laufzeit,C80*MAX(0,$C$17-D80),0)</f>
        <v>0</v>
      </c>
    </row>
    <row r="81" customFormat="false" ht="15" hidden="false" customHeight="false" outlineLevel="0" collapsed="false">
      <c r="B81" s="36" t="n">
        <v>17</v>
      </c>
      <c r="C81" s="31" t="n">
        <f aca="false">H80</f>
        <v>202710.039354448</v>
      </c>
      <c r="D81" s="34" t="n">
        <f aca="false">IF($B81&lt;=A_Zinsbindung,$C$17,A_Zins_Anschluss)</f>
        <v>0.045</v>
      </c>
      <c r="E81" s="31" t="n">
        <f aca="false">IF($B81&lt;=A_Laufzeit,C81*D81,0)</f>
        <v>9121.95177095017</v>
      </c>
      <c r="F81" s="31" t="n">
        <f aca="false">IF($B81&lt;=A_Laufzeit,G81-E81,0)</f>
        <v>16417.0763403358</v>
      </c>
      <c r="G81" s="31" t="n">
        <f aca="false">IF($B81&lt;=A_Laufzeit,IF($B81&lt;=0,E81,$C$22),0)</f>
        <v>25539.028111286</v>
      </c>
      <c r="H81" s="31" t="n">
        <f aca="false">MAX(0,C81-F81)</f>
        <v>186292.963014112</v>
      </c>
      <c r="I81" s="31" t="n">
        <f aca="false">IF($B81&lt;=A_Laufzeit,C81*MAX(0,$C$17-D81),0)</f>
        <v>0</v>
      </c>
    </row>
    <row r="82" customFormat="false" ht="15" hidden="false" customHeight="false" outlineLevel="0" collapsed="false">
      <c r="B82" s="36" t="n">
        <v>18</v>
      </c>
      <c r="C82" s="31" t="n">
        <f aca="false">H81</f>
        <v>186292.963014112</v>
      </c>
      <c r="D82" s="34" t="n">
        <f aca="false">IF($B82&lt;=A_Zinsbindung,$C$17,A_Zins_Anschluss)</f>
        <v>0.045</v>
      </c>
      <c r="E82" s="31" t="n">
        <f aca="false">IF($B82&lt;=A_Laufzeit,C82*D82,0)</f>
        <v>8383.18333563506</v>
      </c>
      <c r="F82" s="31" t="n">
        <f aca="false">IF($B82&lt;=A_Laufzeit,G82-E82,0)</f>
        <v>17155.8447756509</v>
      </c>
      <c r="G82" s="31" t="n">
        <f aca="false">IF($B82&lt;=A_Laufzeit,IF($B82&lt;=0,E82,$C$22),0)</f>
        <v>25539.028111286</v>
      </c>
      <c r="H82" s="31" t="n">
        <f aca="false">MAX(0,C82-F82)</f>
        <v>169137.118238462</v>
      </c>
      <c r="I82" s="31" t="n">
        <f aca="false">IF($B82&lt;=A_Laufzeit,C82*MAX(0,$C$17-D82),0)</f>
        <v>0</v>
      </c>
    </row>
    <row r="83" customFormat="false" ht="15" hidden="false" customHeight="false" outlineLevel="0" collapsed="false">
      <c r="B83" s="36" t="n">
        <v>19</v>
      </c>
      <c r="C83" s="31" t="n">
        <f aca="false">H82</f>
        <v>169137.118238462</v>
      </c>
      <c r="D83" s="34" t="n">
        <f aca="false">IF($B83&lt;=A_Zinsbindung,$C$17,A_Zins_Anschluss)</f>
        <v>0.045</v>
      </c>
      <c r="E83" s="31" t="n">
        <f aca="false">IF($B83&lt;=A_Laufzeit,C83*D83,0)</f>
        <v>7611.17032073077</v>
      </c>
      <c r="F83" s="31" t="n">
        <f aca="false">IF($B83&lt;=A_Laufzeit,G83-E83,0)</f>
        <v>17927.8577905552</v>
      </c>
      <c r="G83" s="31" t="n">
        <f aca="false">IF($B83&lt;=A_Laufzeit,IF($B83&lt;=0,E83,$C$22),0)</f>
        <v>25539.028111286</v>
      </c>
      <c r="H83" s="31" t="n">
        <f aca="false">MAX(0,C83-F83)</f>
        <v>151209.260447906</v>
      </c>
      <c r="I83" s="31" t="n">
        <f aca="false">IF($B83&lt;=A_Laufzeit,C83*MAX(0,$C$17-D83),0)</f>
        <v>0</v>
      </c>
    </row>
    <row r="84" customFormat="false" ht="15" hidden="false" customHeight="false" outlineLevel="0" collapsed="false">
      <c r="B84" s="36" t="n">
        <v>20</v>
      </c>
      <c r="C84" s="31" t="n">
        <f aca="false">H83</f>
        <v>151209.260447906</v>
      </c>
      <c r="D84" s="34" t="n">
        <f aca="false">IF($B84&lt;=A_Zinsbindung,$C$17,A_Zins_Anschluss)</f>
        <v>0.045</v>
      </c>
      <c r="E84" s="31" t="n">
        <f aca="false">IF($B84&lt;=A_Laufzeit,C84*D84,0)</f>
        <v>6804.41672015579</v>
      </c>
      <c r="F84" s="31" t="n">
        <f aca="false">IF($B84&lt;=A_Laufzeit,G84-E84,0)</f>
        <v>18734.6113911302</v>
      </c>
      <c r="G84" s="31" t="n">
        <f aca="false">IF($B84&lt;=A_Laufzeit,IF($B84&lt;=0,E84,$C$22),0)</f>
        <v>25539.028111286</v>
      </c>
      <c r="H84" s="31" t="n">
        <f aca="false">MAX(0,C84-F84)</f>
        <v>132474.649056776</v>
      </c>
      <c r="I84" s="31" t="n">
        <f aca="false">IF($B84&lt;=A_Laufzeit,C84*MAX(0,$C$17-D84),0)</f>
        <v>0</v>
      </c>
    </row>
    <row r="85" customFormat="false" ht="15" hidden="false" customHeight="false" outlineLevel="0" collapsed="false">
      <c r="B85" s="36" t="n">
        <v>21</v>
      </c>
      <c r="C85" s="31" t="n">
        <f aca="false">H84</f>
        <v>132474.649056776</v>
      </c>
      <c r="D85" s="34" t="n">
        <f aca="false">IF($B85&lt;=A_Zinsbindung,$C$17,A_Zins_Anschluss)</f>
        <v>0.045</v>
      </c>
      <c r="E85" s="31" t="n">
        <f aca="false">IF($B85&lt;=A_Laufzeit,C85*D85,0)</f>
        <v>5961.35920755493</v>
      </c>
      <c r="F85" s="31" t="n">
        <f aca="false">IF($B85&lt;=A_Laufzeit,G85-E85,0)</f>
        <v>19577.668903731</v>
      </c>
      <c r="G85" s="31" t="n">
        <f aca="false">IF($B85&lt;=A_Laufzeit,IF($B85&lt;=0,E85,$C$22),0)</f>
        <v>25539.028111286</v>
      </c>
      <c r="H85" s="31" t="n">
        <f aca="false">MAX(0,C85-F85)</f>
        <v>112896.980153045</v>
      </c>
      <c r="I85" s="31" t="n">
        <f aca="false">IF($B85&lt;=A_Laufzeit,C85*MAX(0,$C$17-D85),0)</f>
        <v>0</v>
      </c>
    </row>
    <row r="86" customFormat="false" ht="15" hidden="false" customHeight="false" outlineLevel="0" collapsed="false">
      <c r="B86" s="36" t="n">
        <v>22</v>
      </c>
      <c r="C86" s="31" t="n">
        <f aca="false">H85</f>
        <v>112896.980153045</v>
      </c>
      <c r="D86" s="34" t="n">
        <f aca="false">IF($B86&lt;=A_Zinsbindung,$C$17,A_Zins_Anschluss)</f>
        <v>0.045</v>
      </c>
      <c r="E86" s="31" t="n">
        <f aca="false">IF($B86&lt;=A_Laufzeit,C86*D86,0)</f>
        <v>5080.36410688703</v>
      </c>
      <c r="F86" s="31" t="n">
        <f aca="false">IF($B86&lt;=A_Laufzeit,G86-E86,0)</f>
        <v>20458.6640043989</v>
      </c>
      <c r="G86" s="31" t="n">
        <f aca="false">IF($B86&lt;=A_Laufzeit,IF($B86&lt;=0,E86,$C$22),0)</f>
        <v>25539.028111286</v>
      </c>
      <c r="H86" s="31" t="n">
        <f aca="false">MAX(0,C86-F86)</f>
        <v>92438.3161486462</v>
      </c>
      <c r="I86" s="31" t="n">
        <f aca="false">IF($B86&lt;=A_Laufzeit,C86*MAX(0,$C$17-D86),0)</f>
        <v>0</v>
      </c>
    </row>
    <row r="87" customFormat="false" ht="15" hidden="false" customHeight="false" outlineLevel="0" collapsed="false">
      <c r="B87" s="36" t="n">
        <v>23</v>
      </c>
      <c r="C87" s="31" t="n">
        <f aca="false">H86</f>
        <v>92438.3161486462</v>
      </c>
      <c r="D87" s="34" t="n">
        <f aca="false">IF($B87&lt;=A_Zinsbindung,$C$17,A_Zins_Anschluss)</f>
        <v>0.045</v>
      </c>
      <c r="E87" s="31" t="n">
        <f aca="false">IF($B87&lt;=A_Laufzeit,C87*D87,0)</f>
        <v>4159.72422668908</v>
      </c>
      <c r="F87" s="31" t="n">
        <f aca="false">IF($B87&lt;=A_Laufzeit,G87-E87,0)</f>
        <v>21379.3038845969</v>
      </c>
      <c r="G87" s="31" t="n">
        <f aca="false">IF($B87&lt;=A_Laufzeit,IF($B87&lt;=0,E87,$C$22),0)</f>
        <v>25539.028111286</v>
      </c>
      <c r="H87" s="31" t="n">
        <f aca="false">MAX(0,C87-F87)</f>
        <v>71059.0122640494</v>
      </c>
      <c r="I87" s="31" t="n">
        <f aca="false">IF($B87&lt;=A_Laufzeit,C87*MAX(0,$C$17-D87),0)</f>
        <v>0</v>
      </c>
    </row>
    <row r="88" customFormat="false" ht="15" hidden="false" customHeight="false" outlineLevel="0" collapsed="false">
      <c r="B88" s="36" t="n">
        <v>24</v>
      </c>
      <c r="C88" s="31" t="n">
        <f aca="false">H87</f>
        <v>71059.0122640494</v>
      </c>
      <c r="D88" s="34" t="n">
        <f aca="false">IF($B88&lt;=A_Zinsbindung,$C$17,A_Zins_Anschluss)</f>
        <v>0.045</v>
      </c>
      <c r="E88" s="31" t="n">
        <f aca="false">IF($B88&lt;=A_Laufzeit,C88*D88,0)</f>
        <v>3197.65555188222</v>
      </c>
      <c r="F88" s="31" t="n">
        <f aca="false">IF($B88&lt;=A_Laufzeit,G88-E88,0)</f>
        <v>22341.3725594037</v>
      </c>
      <c r="G88" s="31" t="n">
        <f aca="false">IF($B88&lt;=A_Laufzeit,IF($B88&lt;=0,E88,$C$22),0)</f>
        <v>25539.028111286</v>
      </c>
      <c r="H88" s="31" t="n">
        <f aca="false">MAX(0,C88-F88)</f>
        <v>48717.6397046456</v>
      </c>
      <c r="I88" s="31" t="n">
        <f aca="false">IF($B88&lt;=A_Laufzeit,C88*MAX(0,$C$17-D88),0)</f>
        <v>0</v>
      </c>
    </row>
    <row r="89" customFormat="false" ht="15" hidden="false" customHeight="false" outlineLevel="0" collapsed="false">
      <c r="B89" s="36" t="n">
        <v>25</v>
      </c>
      <c r="C89" s="31" t="n">
        <f aca="false">H88</f>
        <v>48717.6397046456</v>
      </c>
      <c r="D89" s="34" t="n">
        <f aca="false">IF($B89&lt;=A_Zinsbindung,$C$17,A_Zins_Anschluss)</f>
        <v>0.045</v>
      </c>
      <c r="E89" s="31" t="n">
        <f aca="false">IF($B89&lt;=A_Laufzeit,C89*D89,0)</f>
        <v>2192.29378670905</v>
      </c>
      <c r="F89" s="31" t="n">
        <f aca="false">IF($B89&lt;=A_Laufzeit,G89-E89,0)</f>
        <v>23346.7343245769</v>
      </c>
      <c r="G89" s="31" t="n">
        <f aca="false">IF($B89&lt;=A_Laufzeit,IF($B89&lt;=0,E89,$C$22),0)</f>
        <v>25539.028111286</v>
      </c>
      <c r="H89" s="31" t="n">
        <f aca="false">MAX(0,C89-F89)</f>
        <v>25370.9053800687</v>
      </c>
      <c r="I89" s="31" t="n">
        <f aca="false">IF($B89&lt;=A_Laufzeit,C89*MAX(0,$C$17-D89),0)</f>
        <v>0</v>
      </c>
    </row>
    <row r="90" customFormat="false" ht="15" hidden="false" customHeight="false" outlineLevel="0" collapsed="false">
      <c r="B90" s="36" t="n">
        <v>26</v>
      </c>
      <c r="C90" s="31" t="n">
        <f aca="false">H89</f>
        <v>25370.9053800687</v>
      </c>
      <c r="D90" s="34" t="n">
        <f aca="false">IF($B90&lt;=A_Zinsbindung,$C$17,A_Zins_Anschluss)</f>
        <v>0.045</v>
      </c>
      <c r="E90" s="31" t="n">
        <f aca="false">IF($B90&lt;=A_Laufzeit,C90*D90,0)</f>
        <v>1141.69074210309</v>
      </c>
      <c r="F90" s="31" t="n">
        <f aca="false">IF($B90&lt;=A_Laufzeit,G90-E90,0)</f>
        <v>24397.3373691829</v>
      </c>
      <c r="G90" s="31" t="n">
        <f aca="false">IF($B90&lt;=A_Laufzeit,IF($B90&lt;=0,E90,$C$22),0)</f>
        <v>25539.028111286</v>
      </c>
      <c r="H90" s="31" t="n">
        <f aca="false">MAX(0,C90-F90)</f>
        <v>973.568010885836</v>
      </c>
      <c r="I90" s="31" t="n">
        <f aca="false">IF($B90&lt;=A_Laufzeit,C90*MAX(0,$C$17-D90),0)</f>
        <v>0</v>
      </c>
    </row>
    <row r="91" customFormat="false" ht="15" hidden="false" customHeight="false" outlineLevel="0" collapsed="false">
      <c r="B91" s="36" t="n">
        <v>27</v>
      </c>
      <c r="C91" s="31" t="n">
        <f aca="false">H90</f>
        <v>973.568010885836</v>
      </c>
      <c r="D91" s="34" t="n">
        <f aca="false">IF($B91&lt;=A_Zinsbindung,$C$17,A_Zins_Anschluss)</f>
        <v>0.045</v>
      </c>
      <c r="E91" s="31" t="n">
        <f aca="false">IF($B91&lt;=A_Laufzeit,C91*D91,0)</f>
        <v>43.8105604898626</v>
      </c>
      <c r="F91" s="31" t="n">
        <f aca="false">IF($B91&lt;=A_Laufzeit,G91-E91,0)</f>
        <v>25495.2175507961</v>
      </c>
      <c r="G91" s="31" t="n">
        <f aca="false">IF($B91&lt;=A_Laufzeit,IF($B91&lt;=0,E91,$C$22),0)</f>
        <v>25539.028111286</v>
      </c>
      <c r="H91" s="31" t="n">
        <f aca="false">MAX(0,C91-F91)</f>
        <v>0</v>
      </c>
      <c r="I91" s="31" t="n">
        <f aca="false">IF($B91&lt;=A_Laufzeit,C91*MAX(0,$C$17-D91),0)</f>
        <v>0</v>
      </c>
    </row>
    <row r="92" customFormat="false" ht="15" hidden="false" customHeight="false" outlineLevel="0" collapsed="false">
      <c r="B92" s="36" t="n">
        <v>28</v>
      </c>
      <c r="C92" s="31" t="n">
        <f aca="false">H91</f>
        <v>0</v>
      </c>
      <c r="D92" s="34" t="n">
        <f aca="false">IF($B92&lt;=A_Zinsbindung,$C$17,A_Zins_Anschluss)</f>
        <v>0.045</v>
      </c>
      <c r="E92" s="31" t="n">
        <f aca="false">IF($B92&lt;=A_Laufzeit,C92*D92,0)</f>
        <v>0</v>
      </c>
      <c r="F92" s="31" t="n">
        <f aca="false">IF($B92&lt;=A_Laufzeit,G92-E92,0)</f>
        <v>25539.028111286</v>
      </c>
      <c r="G92" s="31" t="n">
        <f aca="false">IF($B92&lt;=A_Laufzeit,IF($B92&lt;=0,E92,$C$22),0)</f>
        <v>25539.028111286</v>
      </c>
      <c r="H92" s="31" t="n">
        <f aca="false">MAX(0,C92-F92)</f>
        <v>0</v>
      </c>
      <c r="I92" s="31" t="n">
        <f aca="false">IF($B92&lt;=A_Laufzeit,C92*MAX(0,$C$17-D92),0)</f>
        <v>0</v>
      </c>
    </row>
    <row r="93" customFormat="false" ht="15" hidden="false" customHeight="false" outlineLevel="0" collapsed="false">
      <c r="B93" s="36" t="n">
        <v>29</v>
      </c>
      <c r="C93" s="31" t="n">
        <f aca="false">H92</f>
        <v>0</v>
      </c>
      <c r="D93" s="34" t="n">
        <f aca="false">IF($B93&lt;=A_Zinsbindung,$C$17,A_Zins_Anschluss)</f>
        <v>0.045</v>
      </c>
      <c r="E93" s="31" t="n">
        <f aca="false">IF($B93&lt;=A_Laufzeit,C93*D93,0)</f>
        <v>0</v>
      </c>
      <c r="F93" s="31" t="n">
        <f aca="false">IF($B93&lt;=A_Laufzeit,G93-E93,0)</f>
        <v>25539.028111286</v>
      </c>
      <c r="G93" s="31" t="n">
        <f aca="false">IF($B93&lt;=A_Laufzeit,IF($B93&lt;=0,E93,$C$22),0)</f>
        <v>25539.028111286</v>
      </c>
      <c r="H93" s="31" t="n">
        <f aca="false">MAX(0,C93-F93)</f>
        <v>0</v>
      </c>
      <c r="I93" s="31" t="n">
        <f aca="false">IF($B93&lt;=A_Laufzeit,C93*MAX(0,$C$17-D93),0)</f>
        <v>0</v>
      </c>
    </row>
    <row r="94" customFormat="false" ht="15" hidden="false" customHeight="false" outlineLevel="0" collapsed="false">
      <c r="B94" s="36" t="n">
        <v>30</v>
      </c>
      <c r="C94" s="31" t="n">
        <f aca="false">H93</f>
        <v>0</v>
      </c>
      <c r="D94" s="34" t="n">
        <f aca="false">IF($B94&lt;=A_Zinsbindung,$C$17,A_Zins_Anschluss)</f>
        <v>0.045</v>
      </c>
      <c r="E94" s="31" t="n">
        <f aca="false">IF($B94&lt;=A_Laufzeit,C94*D94,0)</f>
        <v>0</v>
      </c>
      <c r="F94" s="31" t="n">
        <f aca="false">IF($B94&lt;=A_Laufzeit,G94-E94,0)</f>
        <v>25539.028111286</v>
      </c>
      <c r="G94" s="31" t="n">
        <f aca="false">IF($B94&lt;=A_Laufzeit,IF($B94&lt;=0,E94,$C$22),0)</f>
        <v>25539.028111286</v>
      </c>
      <c r="H94" s="31" t="n">
        <f aca="false">MAX(0,C94-F94)</f>
        <v>0</v>
      </c>
      <c r="I94" s="31" t="n">
        <f aca="false">IF($B94&lt;=A_Laufzeit,C94*MAX(0,$C$17-D94),0)</f>
        <v>0</v>
      </c>
    </row>
    <row r="95" customFormat="false" ht="15" hidden="false" customHeight="false" outlineLevel="0" collapsed="false">
      <c r="B95" s="36" t="n">
        <v>31</v>
      </c>
      <c r="C95" s="31" t="n">
        <f aca="false">H94</f>
        <v>0</v>
      </c>
      <c r="D95" s="34" t="n">
        <f aca="false">IF($B95&lt;=A_Zinsbindung,$C$17,A_Zins_Anschluss)</f>
        <v>0.045</v>
      </c>
      <c r="E95" s="31" t="n">
        <f aca="false">IF($B95&lt;=A_Laufzeit,C95*D95,0)</f>
        <v>0</v>
      </c>
      <c r="F95" s="31" t="n">
        <f aca="false">IF($B95&lt;=A_Laufzeit,G95-E95,0)</f>
        <v>0</v>
      </c>
      <c r="G95" s="31" t="n">
        <f aca="false">IF($B95&lt;=A_Laufzeit,IF($B95&lt;=0,E95,$C$22),0)</f>
        <v>0</v>
      </c>
      <c r="H95" s="31" t="n">
        <f aca="false">MAX(0,C95-F95)</f>
        <v>0</v>
      </c>
      <c r="I95" s="31" t="n">
        <f aca="false">IF($B95&lt;=A_Laufzeit,C95*MAX(0,$C$17-D95),0)</f>
        <v>0</v>
      </c>
    </row>
    <row r="96" customFormat="false" ht="15" hidden="false" customHeight="false" outlineLevel="0" collapsed="false">
      <c r="B96" s="36" t="n">
        <v>32</v>
      </c>
      <c r="C96" s="31" t="n">
        <f aca="false">H95</f>
        <v>0</v>
      </c>
      <c r="D96" s="34" t="n">
        <f aca="false">IF($B96&lt;=A_Zinsbindung,$C$17,A_Zins_Anschluss)</f>
        <v>0.045</v>
      </c>
      <c r="E96" s="31" t="n">
        <f aca="false">IF($B96&lt;=A_Laufzeit,C96*D96,0)</f>
        <v>0</v>
      </c>
      <c r="F96" s="31" t="n">
        <f aca="false">IF($B96&lt;=A_Laufzeit,G96-E96,0)</f>
        <v>0</v>
      </c>
      <c r="G96" s="31" t="n">
        <f aca="false">IF($B96&lt;=A_Laufzeit,IF($B96&lt;=0,E96,$C$22),0)</f>
        <v>0</v>
      </c>
      <c r="H96" s="31" t="n">
        <f aca="false">MAX(0,C96-F96)</f>
        <v>0</v>
      </c>
      <c r="I96" s="31" t="n">
        <f aca="false">IF($B96&lt;=A_Laufzeit,C96*MAX(0,$C$17-D96),0)</f>
        <v>0</v>
      </c>
    </row>
    <row r="97" customFormat="false" ht="15" hidden="false" customHeight="false" outlineLevel="0" collapsed="false">
      <c r="B97" s="36" t="n">
        <v>33</v>
      </c>
      <c r="C97" s="31" t="n">
        <f aca="false">H96</f>
        <v>0</v>
      </c>
      <c r="D97" s="34" t="n">
        <f aca="false">IF($B97&lt;=A_Zinsbindung,$C$17,A_Zins_Anschluss)</f>
        <v>0.045</v>
      </c>
      <c r="E97" s="31" t="n">
        <f aca="false">IF($B97&lt;=A_Laufzeit,C97*D97,0)</f>
        <v>0</v>
      </c>
      <c r="F97" s="31" t="n">
        <f aca="false">IF($B97&lt;=A_Laufzeit,G97-E97,0)</f>
        <v>0</v>
      </c>
      <c r="G97" s="31" t="n">
        <f aca="false">IF($B97&lt;=A_Laufzeit,IF($B97&lt;=0,E97,$C$22),0)</f>
        <v>0</v>
      </c>
      <c r="H97" s="31" t="n">
        <f aca="false">MAX(0,C97-F97)</f>
        <v>0</v>
      </c>
      <c r="I97" s="31" t="n">
        <f aca="false">IF($B97&lt;=A_Laufzeit,C97*MAX(0,$C$17-D97),0)</f>
        <v>0</v>
      </c>
    </row>
    <row r="98" customFormat="false" ht="15" hidden="false" customHeight="false" outlineLevel="0" collapsed="false">
      <c r="B98" s="36" t="n">
        <v>34</v>
      </c>
      <c r="C98" s="31" t="n">
        <f aca="false">H97</f>
        <v>0</v>
      </c>
      <c r="D98" s="34" t="n">
        <f aca="false">IF($B98&lt;=A_Zinsbindung,$C$17,A_Zins_Anschluss)</f>
        <v>0.045</v>
      </c>
      <c r="E98" s="31" t="n">
        <f aca="false">IF($B98&lt;=A_Laufzeit,C98*D98,0)</f>
        <v>0</v>
      </c>
      <c r="F98" s="31" t="n">
        <f aca="false">IF($B98&lt;=A_Laufzeit,G98-E98,0)</f>
        <v>0</v>
      </c>
      <c r="G98" s="31" t="n">
        <f aca="false">IF($B98&lt;=A_Laufzeit,IF($B98&lt;=0,E98,$C$22),0)</f>
        <v>0</v>
      </c>
      <c r="H98" s="31" t="n">
        <f aca="false">MAX(0,C98-F98)</f>
        <v>0</v>
      </c>
      <c r="I98" s="31" t="n">
        <f aca="false">IF($B98&lt;=A_Laufzeit,C98*MAX(0,$C$17-D98),0)</f>
        <v>0</v>
      </c>
    </row>
    <row r="99" customFormat="false" ht="15" hidden="false" customHeight="false" outlineLevel="0" collapsed="false">
      <c r="B99" s="36" t="n">
        <v>35</v>
      </c>
      <c r="C99" s="31" t="n">
        <f aca="false">H98</f>
        <v>0</v>
      </c>
      <c r="D99" s="34" t="n">
        <f aca="false">IF($B99&lt;=A_Zinsbindung,$C$17,A_Zins_Anschluss)</f>
        <v>0.045</v>
      </c>
      <c r="E99" s="31" t="n">
        <f aca="false">IF($B99&lt;=A_Laufzeit,C99*D99,0)</f>
        <v>0</v>
      </c>
      <c r="F99" s="31" t="n">
        <f aca="false">IF($B99&lt;=A_Laufzeit,G99-E99,0)</f>
        <v>0</v>
      </c>
      <c r="G99" s="31" t="n">
        <f aca="false">IF($B99&lt;=A_Laufzeit,IF($B99&lt;=0,E99,$C$22),0)</f>
        <v>0</v>
      </c>
      <c r="H99" s="31" t="n">
        <f aca="false">MAX(0,C99-F99)</f>
        <v>0</v>
      </c>
      <c r="I99" s="31" t="n">
        <f aca="false">IF($B99&lt;=A_Laufzeit,C99*MAX(0,$C$17-D99),0)</f>
        <v>0</v>
      </c>
    </row>
    <row r="101" customFormat="false" ht="15" hidden="false" customHeight="false" outlineLevel="0" collapsed="false">
      <c r="B101" s="14" t="s">
        <v>684</v>
      </c>
      <c r="C101" s="14"/>
      <c r="D101" s="14"/>
      <c r="E101" s="14"/>
    </row>
    <row r="102" customFormat="false" ht="15" hidden="false" customHeight="false" outlineLevel="0" collapsed="false">
      <c r="B102" s="4" t="s">
        <v>685</v>
      </c>
      <c r="C102" s="31" t="n">
        <f aca="false">INDEX(H27:H61,A_Zinsbindung)</f>
        <v>93791.6522988098</v>
      </c>
      <c r="E102" s="7" t="s">
        <v>686</v>
      </c>
    </row>
    <row r="103" customFormat="false" ht="15" hidden="false" customHeight="false" outlineLevel="0" collapsed="false">
      <c r="B103" s="4" t="s">
        <v>687</v>
      </c>
      <c r="C103" s="31" t="n">
        <f aca="false">INDEX(H65:H99,A_Zinsbindung)</f>
        <v>287387.225656773</v>
      </c>
    </row>
    <row r="104" customFormat="false" ht="15" hidden="false" customHeight="false" outlineLevel="0" collapsed="false">
      <c r="B104" s="32" t="s">
        <v>688</v>
      </c>
      <c r="C104" s="33" t="n">
        <f aca="false">C102+C103</f>
        <v>381178.877955583</v>
      </c>
    </row>
    <row r="105" customFormat="false" ht="15" hidden="false" customHeight="false" outlineLevel="0" collapsed="false">
      <c r="B105" s="4" t="s">
        <v>689</v>
      </c>
      <c r="C105" s="31" t="n">
        <f aca="false">SUM(E27:E61)</f>
        <v>91970.1066167256</v>
      </c>
    </row>
    <row r="106" customFormat="false" ht="15" hidden="false" customHeight="false" outlineLevel="0" collapsed="false">
      <c r="B106" s="4" t="s">
        <v>690</v>
      </c>
      <c r="C106" s="31" t="n">
        <f aca="false">SUM(E65:E99)</f>
        <v>256407.659684235</v>
      </c>
    </row>
    <row r="107" customFormat="false" ht="15" hidden="false" customHeight="false" outlineLevel="0" collapsed="false">
      <c r="B107" s="32" t="s">
        <v>691</v>
      </c>
      <c r="C107" s="33" t="n">
        <f aca="false">C105+C106</f>
        <v>348377.766300961</v>
      </c>
    </row>
    <row r="108" customFormat="false" ht="15" hidden="false" customHeight="false" outlineLevel="0" collapsed="false">
      <c r="B108" s="32" t="s">
        <v>692</v>
      </c>
      <c r="C108" s="33" t="n">
        <f aca="false">SUM(I27:I61)+SUM(I65:I99)</f>
        <v>15563.3252873335</v>
      </c>
    </row>
    <row r="109" customFormat="false" ht="15" hidden="false" customHeight="false" outlineLevel="0" collapsed="false">
      <c r="B109" s="4" t="s">
        <v>693</v>
      </c>
      <c r="C109" s="34" t="n">
        <f aca="false">IF(C6=0,0,(C9*C10+C14*C17)/C6)</f>
        <v>0.0346624467982466</v>
      </c>
    </row>
    <row r="110" customFormat="false" ht="15" hidden="false" customHeight="false" outlineLevel="0" collapsed="false">
      <c r="B110" s="32" t="s">
        <v>694</v>
      </c>
      <c r="C110" s="33" t="n">
        <f aca="false">INDEX(H27:H61,A_Laufzeit)+INDEX(H65:H99,A_Laufzeit)</f>
        <v>37970.1066167256</v>
      </c>
      <c r="E110" s="37" t="s">
        <v>695</v>
      </c>
    </row>
  </sheetData>
  <mergeCells count="5">
    <mergeCell ref="B3:E3"/>
    <mergeCell ref="B20:E20"/>
    <mergeCell ref="B25:I25"/>
    <mergeCell ref="B63:I63"/>
    <mergeCell ref="B101:E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20"/>
    <col collapsed="false" customWidth="true" hidden="false" outlineLevel="0" max="7" min="7" style="0" width="16"/>
    <col collapsed="false" customWidth="true" hidden="false" outlineLevel="0" max="8" min="8" style="0" width="18"/>
  </cols>
  <sheetData>
    <row r="1" customFormat="false" ht="17.35" hidden="false" customHeight="false" outlineLevel="0" collapsed="false">
      <c r="B1" s="1" t="s">
        <v>696</v>
      </c>
    </row>
    <row r="3" customFormat="false" ht="15" hidden="false" customHeight="false" outlineLevel="0" collapsed="false">
      <c r="B3" s="14" t="s">
        <v>697</v>
      </c>
      <c r="C3" s="14"/>
      <c r="D3" s="14"/>
      <c r="E3" s="14"/>
    </row>
    <row r="4" customFormat="false" ht="15" hidden="false" customHeight="false" outlineLevel="0" collapsed="false">
      <c r="B4" s="4" t="s">
        <v>698</v>
      </c>
      <c r="C4" s="38" t="n">
        <f aca="false">10_VORLAGE!$C$27</f>
        <v>6</v>
      </c>
    </row>
    <row r="5" customFormat="false" ht="15" hidden="false" customHeight="false" outlineLevel="0" collapsed="false">
      <c r="B5" s="4" t="s">
        <v>699</v>
      </c>
      <c r="C5" s="13" t="n">
        <f aca="false">11_Kalkulation!$C$13</f>
        <v>352321.145071165</v>
      </c>
    </row>
    <row r="6" customFormat="false" ht="15" hidden="false" customHeight="false" outlineLevel="0" collapsed="false">
      <c r="B6" s="4" t="s">
        <v>700</v>
      </c>
      <c r="C6" s="13" t="n">
        <f aca="false">12_Finanzierung!$C$6</f>
        <v>528624.449780575</v>
      </c>
    </row>
    <row r="8" customFormat="false" ht="15" hidden="false" customHeight="false" outlineLevel="0" collapsed="false">
      <c r="B8" s="14" t="s">
        <v>701</v>
      </c>
      <c r="C8" s="14"/>
      <c r="D8" s="14"/>
      <c r="E8" s="14"/>
      <c r="F8" s="14"/>
      <c r="G8" s="14"/>
      <c r="H8" s="14"/>
    </row>
    <row r="9" customFormat="false" ht="35.05" hidden="false" customHeight="false" outlineLevel="0" collapsed="false">
      <c r="B9" s="11" t="s">
        <v>702</v>
      </c>
      <c r="C9" s="11" t="s">
        <v>703</v>
      </c>
      <c r="D9" s="11" t="s">
        <v>704</v>
      </c>
      <c r="E9" s="11" t="s">
        <v>705</v>
      </c>
      <c r="F9" s="11" t="s">
        <v>706</v>
      </c>
      <c r="G9" s="11" t="s">
        <v>707</v>
      </c>
      <c r="H9" s="11" t="s">
        <v>708</v>
      </c>
    </row>
    <row r="10" customFormat="false" ht="15" hidden="false" customHeight="false" outlineLevel="0" collapsed="false">
      <c r="B10" s="36" t="n">
        <v>1</v>
      </c>
      <c r="C10" s="39" t="n">
        <v>0.2</v>
      </c>
      <c r="D10" s="31" t="n">
        <f aca="false">C10*$C$5</f>
        <v>70464.2290142329</v>
      </c>
      <c r="E10" s="31" t="n">
        <f aca="false">D10</f>
        <v>70464.2290142329</v>
      </c>
      <c r="F10" s="31" t="n">
        <f aca="false">$C$6</f>
        <v>528624.449780575</v>
      </c>
      <c r="G10" s="31" t="n">
        <f aca="false">IF(B10&lt;=A_Bereit_frei,0,F10*A_Bereitstellung)</f>
        <v>0</v>
      </c>
      <c r="H10" s="40" t="n">
        <v>0</v>
      </c>
    </row>
    <row r="11" customFormat="false" ht="15" hidden="false" customHeight="false" outlineLevel="0" collapsed="false">
      <c r="B11" s="36" t="n">
        <v>2</v>
      </c>
      <c r="C11" s="39" t="n">
        <v>0.15</v>
      </c>
      <c r="D11" s="31" t="n">
        <f aca="false">C11*$C$5</f>
        <v>52848.1717606747</v>
      </c>
      <c r="E11" s="31" t="n">
        <f aca="false">E10+D11</f>
        <v>123312.400774908</v>
      </c>
      <c r="F11" s="31" t="n">
        <f aca="false">MAX(0,$C$6-E10)</f>
        <v>458160.220766342</v>
      </c>
      <c r="G11" s="31" t="n">
        <f aca="false">IF(B11&lt;=A_Bereit_frei,0,F11*A_Bereitstellung)</f>
        <v>0</v>
      </c>
      <c r="H11" s="40" t="n">
        <v>0</v>
      </c>
    </row>
    <row r="12" customFormat="false" ht="15" hidden="false" customHeight="false" outlineLevel="0" collapsed="false">
      <c r="B12" s="36" t="n">
        <v>3</v>
      </c>
      <c r="C12" s="39" t="n">
        <v>0.15</v>
      </c>
      <c r="D12" s="31" t="n">
        <f aca="false">C12*$C$5</f>
        <v>52848.1717606747</v>
      </c>
      <c r="E12" s="31" t="n">
        <f aca="false">E11+D12</f>
        <v>176160.572535582</v>
      </c>
      <c r="F12" s="31" t="n">
        <f aca="false">MAX(0,$C$6-E11)</f>
        <v>405312.049005668</v>
      </c>
      <c r="G12" s="31" t="n">
        <f aca="false">IF(B12&lt;=A_Bereit_frei,0,F12*A_Bereitstellung)</f>
        <v>0</v>
      </c>
      <c r="H12" s="40" t="n">
        <v>0</v>
      </c>
    </row>
    <row r="13" customFormat="false" ht="15" hidden="false" customHeight="false" outlineLevel="0" collapsed="false">
      <c r="B13" s="36" t="n">
        <v>4</v>
      </c>
      <c r="C13" s="39" t="n">
        <v>0.15</v>
      </c>
      <c r="D13" s="31" t="n">
        <f aca="false">C13*$C$5</f>
        <v>52848.1717606747</v>
      </c>
      <c r="E13" s="31" t="n">
        <f aca="false">E12+D13</f>
        <v>229008.744296257</v>
      </c>
      <c r="F13" s="31" t="n">
        <f aca="false">MAX(0,$C$6-E12)</f>
        <v>352463.877244993</v>
      </c>
      <c r="G13" s="31" t="n">
        <f aca="false">IF(B13&lt;=A_Bereit_frei,0,F13*A_Bereitstellung)</f>
        <v>0</v>
      </c>
      <c r="H13" s="40" t="n">
        <v>0</v>
      </c>
    </row>
    <row r="14" customFormat="false" ht="15" hidden="false" customHeight="false" outlineLevel="0" collapsed="false">
      <c r="B14" s="36" t="n">
        <v>5</v>
      </c>
      <c r="C14" s="39" t="n">
        <v>0.15</v>
      </c>
      <c r="D14" s="31" t="n">
        <f aca="false">C14*$C$5</f>
        <v>52848.1717606747</v>
      </c>
      <c r="E14" s="31" t="n">
        <f aca="false">E13+D14</f>
        <v>281856.916056932</v>
      </c>
      <c r="F14" s="31" t="n">
        <f aca="false">MAX(0,$C$6-E13)</f>
        <v>299615.705484318</v>
      </c>
      <c r="G14" s="31" t="n">
        <f aca="false">IF(B14&lt;=A_Bereit_frei,0,F14*A_Bereitstellung)</f>
        <v>0</v>
      </c>
      <c r="H14" s="40" t="n">
        <v>0</v>
      </c>
    </row>
    <row r="15" customFormat="false" ht="15" hidden="false" customHeight="false" outlineLevel="0" collapsed="false">
      <c r="B15" s="36" t="n">
        <v>6</v>
      </c>
      <c r="C15" s="39" t="n">
        <v>0.2</v>
      </c>
      <c r="D15" s="31" t="n">
        <f aca="false">C15*$C$5</f>
        <v>70464.2290142329</v>
      </c>
      <c r="E15" s="31" t="n">
        <f aca="false">E14+D15</f>
        <v>352321.145071165</v>
      </c>
      <c r="F15" s="31" t="n">
        <f aca="false">MAX(0,$C$6-E14)</f>
        <v>246767.533723644</v>
      </c>
      <c r="G15" s="31" t="n">
        <f aca="false">IF(B15&lt;=A_Bereit_frei,0,F15*A_Bereitstellung)</f>
        <v>0</v>
      </c>
      <c r="H15" s="40" t="n">
        <v>0</v>
      </c>
    </row>
    <row r="16" customFormat="false" ht="15" hidden="false" customHeight="false" outlineLevel="0" collapsed="false">
      <c r="B16" s="36" t="n">
        <v>7</v>
      </c>
      <c r="C16" s="39" t="n">
        <v>0</v>
      </c>
      <c r="D16" s="31" t="n">
        <f aca="false">C16*$C$5</f>
        <v>0</v>
      </c>
      <c r="E16" s="31" t="n">
        <f aca="false">E15+D16</f>
        <v>352321.145071165</v>
      </c>
      <c r="F16" s="31" t="n">
        <f aca="false">MAX(0,$C$6-E15)</f>
        <v>176303.304709411</v>
      </c>
      <c r="G16" s="31" t="n">
        <f aca="false">IF(B16&lt;=A_Bereit_frei,0,F16*A_Bereitstellung)</f>
        <v>440.758261773527</v>
      </c>
      <c r="H16" s="40" t="n">
        <v>0</v>
      </c>
    </row>
    <row r="17" customFormat="false" ht="15" hidden="false" customHeight="false" outlineLevel="0" collapsed="false">
      <c r="B17" s="36" t="n">
        <v>8</v>
      </c>
      <c r="C17" s="39" t="n">
        <v>0</v>
      </c>
      <c r="D17" s="31" t="n">
        <f aca="false">C17*$C$5</f>
        <v>0</v>
      </c>
      <c r="E17" s="31" t="n">
        <f aca="false">E16+D17</f>
        <v>352321.145071165</v>
      </c>
      <c r="F17" s="31" t="n">
        <f aca="false">MAX(0,$C$6-E16)</f>
        <v>176303.304709411</v>
      </c>
      <c r="G17" s="31" t="n">
        <f aca="false">IF(B17&lt;=A_Bereit_frei,0,F17*A_Bereitstellung)</f>
        <v>440.758261773527</v>
      </c>
      <c r="H17" s="40" t="n">
        <v>0</v>
      </c>
    </row>
    <row r="18" customFormat="false" ht="15" hidden="false" customHeight="false" outlineLevel="0" collapsed="false">
      <c r="B18" s="36" t="n">
        <v>9</v>
      </c>
      <c r="C18" s="39" t="n">
        <v>0</v>
      </c>
      <c r="D18" s="31" t="n">
        <f aca="false">C18*$C$5</f>
        <v>0</v>
      </c>
      <c r="E18" s="31" t="n">
        <f aca="false">E17+D18</f>
        <v>352321.145071165</v>
      </c>
      <c r="F18" s="31" t="n">
        <f aca="false">MAX(0,$C$6-E17)</f>
        <v>176303.304709411</v>
      </c>
      <c r="G18" s="31" t="n">
        <f aca="false">IF(B18&lt;=A_Bereit_frei,0,F18*A_Bereitstellung)</f>
        <v>440.758261773527</v>
      </c>
      <c r="H18" s="40" t="n">
        <v>0</v>
      </c>
    </row>
    <row r="19" customFormat="false" ht="15" hidden="false" customHeight="false" outlineLevel="0" collapsed="false">
      <c r="B19" s="36" t="n">
        <v>10</v>
      </c>
      <c r="C19" s="39" t="n">
        <v>0</v>
      </c>
      <c r="D19" s="31" t="n">
        <f aca="false">C19*$C$5</f>
        <v>0</v>
      </c>
      <c r="E19" s="31" t="n">
        <f aca="false">E18+D19</f>
        <v>352321.145071165</v>
      </c>
      <c r="F19" s="31" t="n">
        <f aca="false">MAX(0,$C$6-E18)</f>
        <v>176303.304709411</v>
      </c>
      <c r="G19" s="31" t="n">
        <f aca="false">IF(B19&lt;=A_Bereit_frei,0,F19*A_Bereitstellung)</f>
        <v>440.758261773527</v>
      </c>
      <c r="H19" s="40" t="n">
        <v>0</v>
      </c>
    </row>
    <row r="20" customFormat="false" ht="15" hidden="false" customHeight="false" outlineLevel="0" collapsed="false">
      <c r="B20" s="36" t="n">
        <v>11</v>
      </c>
      <c r="C20" s="39" t="n">
        <v>0</v>
      </c>
      <c r="D20" s="31" t="n">
        <f aca="false">C20*$C$5</f>
        <v>0</v>
      </c>
      <c r="E20" s="31" t="n">
        <f aca="false">E19+D20</f>
        <v>352321.145071165</v>
      </c>
      <c r="F20" s="31" t="n">
        <f aca="false">MAX(0,$C$6-E19)</f>
        <v>176303.304709411</v>
      </c>
      <c r="G20" s="31" t="n">
        <f aca="false">IF(B20&lt;=A_Bereit_frei,0,F20*A_Bereitstellung)</f>
        <v>440.758261773527</v>
      </c>
      <c r="H20" s="40" t="n">
        <v>0</v>
      </c>
    </row>
    <row r="21" customFormat="false" ht="15" hidden="false" customHeight="false" outlineLevel="0" collapsed="false">
      <c r="B21" s="36" t="n">
        <v>12</v>
      </c>
      <c r="C21" s="39" t="n">
        <v>0</v>
      </c>
      <c r="D21" s="31" t="n">
        <f aca="false">C21*$C$5</f>
        <v>0</v>
      </c>
      <c r="E21" s="31" t="n">
        <f aca="false">E20+D21</f>
        <v>352321.145071165</v>
      </c>
      <c r="F21" s="31" t="n">
        <f aca="false">MAX(0,$C$6-E20)</f>
        <v>176303.304709411</v>
      </c>
      <c r="G21" s="31" t="n">
        <f aca="false">IF(B21&lt;=A_Bereit_frei,0,F21*A_Bereitstellung)</f>
        <v>440.758261773527</v>
      </c>
      <c r="H21" s="40" t="n">
        <v>0</v>
      </c>
    </row>
    <row r="22" customFormat="false" ht="15" hidden="false" customHeight="false" outlineLevel="0" collapsed="false">
      <c r="B22" s="32" t="s">
        <v>709</v>
      </c>
      <c r="C22" s="41" t="n">
        <f aca="false">SUM(C10:C21)</f>
        <v>1</v>
      </c>
      <c r="D22" s="42" t="n">
        <f aca="false">SUM(D10:D21)</f>
        <v>352321.145071165</v>
      </c>
      <c r="G22" s="42" t="n">
        <f aca="false">SUM(G10:G21)</f>
        <v>2644.54957064116</v>
      </c>
    </row>
    <row r="23" customFormat="false" ht="15" hidden="false" customHeight="false" outlineLevel="0" collapsed="false">
      <c r="B23" s="37" t="str">
        <f aca="false">IF(ABS(C22-1)&gt;0.001,"WARNUNG: Anteile summieren nicht auf 100%","")</f>
        <v/>
      </c>
    </row>
    <row r="25" customFormat="false" ht="15" hidden="false" customHeight="false" outlineLevel="0" collapsed="false">
      <c r="B25" s="14" t="s">
        <v>710</v>
      </c>
      <c r="C25" s="14"/>
      <c r="D25" s="14"/>
      <c r="E25" s="14"/>
    </row>
    <row r="26" customFormat="false" ht="15" hidden="false" customHeight="false" outlineLevel="0" collapsed="false">
      <c r="B26" s="4" t="s">
        <v>711</v>
      </c>
      <c r="C26" s="31" t="n">
        <f aca="false">IF(10_VORLAGE!$C$28="Ja",10_VORLAGE!$C$29*10_VORLAGE!$C$27,0)</f>
        <v>5400</v>
      </c>
    </row>
    <row r="27" customFormat="false" ht="15" hidden="false" customHeight="false" outlineLevel="0" collapsed="false">
      <c r="B27" s="4" t="s">
        <v>712</v>
      </c>
      <c r="C27" s="31" t="n">
        <f aca="false">G22</f>
        <v>2644.54957064116</v>
      </c>
    </row>
    <row r="28" customFormat="false" ht="15" hidden="false" customHeight="false" outlineLevel="0" collapsed="false">
      <c r="B28" s="32" t="s">
        <v>713</v>
      </c>
      <c r="C28" s="33" t="n">
        <f aca="false">C26+C27</f>
        <v>8044.54957064116</v>
      </c>
      <c r="E28" s="7" t="s">
        <v>714</v>
      </c>
    </row>
    <row r="30" customFormat="false" ht="15" hidden="false" customHeight="false" outlineLevel="0" collapsed="false">
      <c r="B30" s="14" t="s">
        <v>715</v>
      </c>
      <c r="C30" s="14"/>
      <c r="D30" s="14"/>
      <c r="E30" s="14"/>
    </row>
    <row r="31" customFormat="false" ht="15" hidden="false" customHeight="false" outlineLevel="0" collapsed="false">
      <c r="B31" s="4" t="s">
        <v>716</v>
      </c>
      <c r="C31" s="36" t="n">
        <f aca="false">MAX(H10:H21)</f>
        <v>0</v>
      </c>
    </row>
    <row r="32" customFormat="false" ht="15" hidden="false" customHeight="false" outlineLevel="0" collapsed="false">
      <c r="B32" s="4" t="s">
        <v>717</v>
      </c>
      <c r="C32" s="4" t="str">
        <f aca="false">IF(C31&gt;60,"Terminrisiko: über 60h Eigenleistung in einem Monat geplant - realistisch neben Beruf pruefen?","unauffällig")</f>
        <v>unauffällig</v>
      </c>
    </row>
  </sheetData>
  <mergeCells count="4">
    <mergeCell ref="B3:E3"/>
    <mergeCell ref="B8:H8"/>
    <mergeCell ref="B25:E25"/>
    <mergeCell ref="B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4" min="3" style="0" width="18"/>
    <col collapsed="false" customWidth="true" hidden="false" outlineLevel="0" max="6" min="5" style="0" width="16"/>
  </cols>
  <sheetData>
    <row r="1" customFormat="false" ht="17.35" hidden="false" customHeight="false" outlineLevel="0" collapsed="false">
      <c r="B1" s="1" t="s">
        <v>718</v>
      </c>
    </row>
    <row r="3" customFormat="false" ht="15" hidden="false" customHeight="false" outlineLevel="0" collapsed="false">
      <c r="B3" s="14" t="s">
        <v>719</v>
      </c>
      <c r="C3" s="14"/>
      <c r="D3" s="14"/>
      <c r="E3" s="14"/>
    </row>
    <row r="4" customFormat="false" ht="15" hidden="false" customHeight="false" outlineLevel="0" collapsed="false">
      <c r="B4" s="4" t="s">
        <v>720</v>
      </c>
      <c r="C4" s="43" t="n">
        <f aca="false">IF(10_VORLAGE!$C$18="Gasheizung",A_P_Gas,IF(10_VORLAGE!$C$18="Ölheizung",A_P_Oel,IF(10_VORLAGE!$C$18="Nachtspeicher",A_P_Strom,IF(10_VORLAGE!$C$18="Fernwärme",A_P_Fernwaerme,IF(10_VORLAGE!$C$18="Wärmepumpe",A_P_WPStrom,A_P_Gas)))))</f>
        <v>0.1</v>
      </c>
      <c r="D4" s="7" t="s">
        <v>145</v>
      </c>
    </row>
    <row r="5" customFormat="false" ht="15" hidden="false" customHeight="false" outlineLevel="0" collapsed="false">
      <c r="B5" s="4" t="s">
        <v>721</v>
      </c>
      <c r="C5" s="36" t="n">
        <f aca="false">IF(10_VORLAGE!$C$18="Gasheizung",A_CO2_Gas,IF(10_VORLAGE!$C$18="Ölheizung",A_CO2_Oel,IF(10_VORLAGE!$C$18="Nachtspeicher",A_CO2_Strom,IF(10_VORLAGE!$C$18="Fernwärme",A_CO2_Fernwaerme,IF(10_VORLAGE!$C$18="Wärmepumpe",A_CO2_Strom,A_CO2_Gas)))))</f>
        <v>201</v>
      </c>
      <c r="D5" s="7" t="s">
        <v>185</v>
      </c>
    </row>
    <row r="7" customFormat="false" ht="15" hidden="false" customHeight="false" outlineLevel="0" collapsed="false">
      <c r="B7" s="14" t="s">
        <v>722</v>
      </c>
      <c r="C7" s="14"/>
      <c r="D7" s="14"/>
      <c r="E7" s="14"/>
    </row>
    <row r="8" customFormat="false" ht="15" hidden="false" customHeight="false" outlineLevel="0" collapsed="false">
      <c r="B8" s="4" t="s">
        <v>723</v>
      </c>
      <c r="C8" s="36" t="n">
        <f aca="false">IF(10_VORLAGE!$C$17&gt;0,10_VORLAGE!$C$17,LOOKUP(10_VORLAGE!$C$7,05_Energiekennwerte!$B$5:$B$9,05_Energiekennwerte!$D$5:$D$9))</f>
        <v>185</v>
      </c>
      <c r="D8" s="7" t="s">
        <v>517</v>
      </c>
    </row>
    <row r="9" customFormat="false" ht="15" hidden="false" customHeight="false" outlineLevel="0" collapsed="false">
      <c r="B9" s="4" t="s">
        <v>724</v>
      </c>
      <c r="C9" s="44" t="n">
        <f aca="false">C8*10_VORLAGE!$C$9</f>
        <v>24050</v>
      </c>
      <c r="D9" s="7" t="s">
        <v>179</v>
      </c>
    </row>
    <row r="10" customFormat="false" ht="15" hidden="false" customHeight="false" outlineLevel="0" collapsed="false">
      <c r="B10" s="32" t="s">
        <v>725</v>
      </c>
      <c r="C10" s="33" t="n">
        <f aca="false">C9*C4</f>
        <v>2405</v>
      </c>
    </row>
    <row r="12" customFormat="false" ht="15" hidden="false" customHeight="false" outlineLevel="0" collapsed="false">
      <c r="B12" s="14" t="s">
        <v>726</v>
      </c>
      <c r="C12" s="14"/>
      <c r="D12" s="14"/>
      <c r="E12" s="14"/>
    </row>
    <row r="13" customFormat="false" ht="15" hidden="false" customHeight="false" outlineLevel="0" collapsed="false">
      <c r="B13" s="4" t="s">
        <v>727</v>
      </c>
      <c r="C13" s="36" t="n">
        <f aca="false">INDEX(05_Energiekennwerte!$C$13:$C$15,MATCH(10_VORLAGE!$C$21,05_Energiekennwerte!$B$13:$B$15,0))</f>
        <v>65</v>
      </c>
      <c r="D13" s="7" t="s">
        <v>517</v>
      </c>
    </row>
    <row r="14" customFormat="false" ht="15" hidden="false" customHeight="false" outlineLevel="0" collapsed="false">
      <c r="B14" s="4" t="s">
        <v>728</v>
      </c>
      <c r="C14" s="44" t="n">
        <f aca="false">C13*10_VORLAGE!$C$9</f>
        <v>8450</v>
      </c>
      <c r="D14" s="7" t="s">
        <v>179</v>
      </c>
    </row>
    <row r="15" customFormat="false" ht="15" hidden="false" customHeight="false" outlineLevel="0" collapsed="false">
      <c r="B15" s="4" t="s">
        <v>729</v>
      </c>
      <c r="C15" s="44" t="n">
        <f aca="false">10_VORLAGE!$C$47*A_WW_Person</f>
        <v>3000</v>
      </c>
      <c r="D15" s="7" t="s">
        <v>179</v>
      </c>
    </row>
    <row r="16" customFormat="false" ht="15" hidden="false" customHeight="false" outlineLevel="0" collapsed="false">
      <c r="B16" s="4" t="s">
        <v>730</v>
      </c>
      <c r="C16" s="44" t="n">
        <f aca="false">C14+C15</f>
        <v>11450</v>
      </c>
      <c r="D16" s="7" t="s">
        <v>179</v>
      </c>
    </row>
    <row r="17" customFormat="false" ht="15" hidden="false" customHeight="false" outlineLevel="0" collapsed="false">
      <c r="B17" s="4" t="s">
        <v>731</v>
      </c>
      <c r="C17" s="23" t="n">
        <f aca="false">IF(10_VORLAGE!$S$65="JA",A_JAZ_FBH,IF(10_VORLAGE!$S$66="JA",A_JAZ_HK45,A_JAZ_HK55))</f>
        <v>4.5</v>
      </c>
      <c r="D17" s="7" t="s">
        <v>173</v>
      </c>
    </row>
    <row r="18" customFormat="false" ht="15" hidden="false" customHeight="false" outlineLevel="0" collapsed="false">
      <c r="B18" s="4" t="s">
        <v>732</v>
      </c>
      <c r="C18" s="44" t="n">
        <f aca="false">C16/C17</f>
        <v>2544.44444444444</v>
      </c>
      <c r="D18" s="7" t="s">
        <v>179</v>
      </c>
    </row>
    <row r="19" customFormat="false" ht="15" hidden="false" customHeight="false" outlineLevel="0" collapsed="false">
      <c r="B19" s="4" t="s">
        <v>733</v>
      </c>
      <c r="C19" s="44" t="n">
        <f aca="false">10_VORLAGE!$C$47*A_HH_Strom_Person</f>
        <v>3900</v>
      </c>
      <c r="D19" s="7" t="s">
        <v>179</v>
      </c>
    </row>
    <row r="20" customFormat="false" ht="15" hidden="false" customHeight="false" outlineLevel="0" collapsed="false">
      <c r="B20" s="4" t="s">
        <v>734</v>
      </c>
      <c r="C20" s="44" t="n">
        <f aca="false">C18+C19</f>
        <v>6444.44444444444</v>
      </c>
      <c r="D20" s="7" t="s">
        <v>179</v>
      </c>
    </row>
    <row r="22" customFormat="false" ht="15" hidden="false" customHeight="false" outlineLevel="0" collapsed="false">
      <c r="B22" s="14" t="s">
        <v>735</v>
      </c>
      <c r="C22" s="14"/>
      <c r="D22" s="14"/>
      <c r="E22" s="14"/>
    </row>
    <row r="23" customFormat="false" ht="15" hidden="false" customHeight="false" outlineLevel="0" collapsed="false">
      <c r="B23" s="4" t="s">
        <v>736</v>
      </c>
      <c r="C23" s="44" t="n">
        <f aca="false">10_VORLAGE!$C$45*A_PV_Ertrag*IF(10_VORLAGE!$C$31="Ost-West",A_PV_OW,1)</f>
        <v>7297.72727272727</v>
      </c>
      <c r="D23" s="7" t="s">
        <v>179</v>
      </c>
    </row>
    <row r="24" customFormat="false" ht="15" hidden="false" customHeight="false" outlineLevel="0" collapsed="false">
      <c r="B24" s="4" t="s">
        <v>737</v>
      </c>
      <c r="C24" s="44" t="n">
        <f aca="false">MIN(C23*A_PV_EV,C20)</f>
        <v>5108.40909090909</v>
      </c>
      <c r="D24" s="7" t="s">
        <v>179</v>
      </c>
    </row>
    <row r="25" customFormat="false" ht="15" hidden="false" customHeight="false" outlineLevel="0" collapsed="false">
      <c r="B25" s="4" t="s">
        <v>738</v>
      </c>
      <c r="C25" s="44" t="n">
        <f aca="false">C23-C24</f>
        <v>2189.31818181818</v>
      </c>
      <c r="D25" s="7" t="s">
        <v>179</v>
      </c>
    </row>
    <row r="26" customFormat="false" ht="15" hidden="false" customHeight="false" outlineLevel="0" collapsed="false">
      <c r="B26" s="4" t="s">
        <v>739</v>
      </c>
      <c r="C26" s="44" t="n">
        <f aca="false">C20-C24</f>
        <v>1336.03535353535</v>
      </c>
      <c r="D26" s="7" t="s">
        <v>179</v>
      </c>
    </row>
    <row r="28" customFormat="false" ht="15" hidden="false" customHeight="false" outlineLevel="0" collapsed="false">
      <c r="B28" s="14" t="s">
        <v>740</v>
      </c>
      <c r="C28" s="14"/>
      <c r="D28" s="14"/>
      <c r="E28" s="14"/>
    </row>
    <row r="29" customFormat="false" ht="15" hidden="false" customHeight="false" outlineLevel="0" collapsed="false">
      <c r="B29" s="32" t="s">
        <v>741</v>
      </c>
      <c r="C29" s="33" t="n">
        <f aca="false">C26*A_P_WPStrom-C25*A_P_Einspeisung</f>
        <v>152.070984848485</v>
      </c>
    </row>
    <row r="30" customFormat="false" ht="15" hidden="false" customHeight="false" outlineLevel="0" collapsed="false">
      <c r="B30" s="32" t="s">
        <v>742</v>
      </c>
      <c r="C30" s="33" t="n">
        <f aca="false">C10-C29</f>
        <v>2252.92901515152</v>
      </c>
    </row>
    <row r="32" customFormat="false" ht="15" hidden="false" customHeight="false" outlineLevel="0" collapsed="false">
      <c r="B32" s="14" t="s">
        <v>743</v>
      </c>
      <c r="C32" s="14"/>
      <c r="D32" s="14"/>
      <c r="E32" s="14"/>
      <c r="F32" s="14"/>
    </row>
    <row r="33" customFormat="false" ht="23.85" hidden="false" customHeight="false" outlineLevel="0" collapsed="false">
      <c r="B33" s="11" t="s">
        <v>51</v>
      </c>
      <c r="C33" s="11" t="s">
        <v>744</v>
      </c>
      <c r="D33" s="11" t="s">
        <v>745</v>
      </c>
      <c r="E33" s="11" t="s">
        <v>746</v>
      </c>
      <c r="F33" s="11" t="s">
        <v>747</v>
      </c>
    </row>
    <row r="34" customFormat="false" ht="15" hidden="false" customHeight="false" outlineLevel="0" collapsed="false">
      <c r="B34" s="36" t="n">
        <v>1</v>
      </c>
      <c r="C34" s="31" t="n">
        <f aca="false">$C$10*(1+A_Energiepreis)^(B34-1)</f>
        <v>2405</v>
      </c>
      <c r="D34" s="31" t="n">
        <f aca="false">$C$29*(1+A_Energiepreis)^(B34-1)</f>
        <v>152.070984848485</v>
      </c>
      <c r="E34" s="31" t="n">
        <f aca="false">C34-D34</f>
        <v>2252.92901515152</v>
      </c>
      <c r="F34" s="31" t="n">
        <f aca="false">E34/(1+A_Diskont)^B34</f>
        <v>2166.27789918415</v>
      </c>
    </row>
    <row r="35" customFormat="false" ht="15" hidden="false" customHeight="false" outlineLevel="0" collapsed="false">
      <c r="B35" s="36" t="n">
        <v>2</v>
      </c>
      <c r="C35" s="31" t="n">
        <f aca="false">$C$10*(1+A_Energiepreis)^(B35-1)</f>
        <v>2477.15</v>
      </c>
      <c r="D35" s="31" t="n">
        <f aca="false">$C$29*(1+A_Energiepreis)^(B35-1)</f>
        <v>156.633114393939</v>
      </c>
      <c r="E35" s="31" t="n">
        <f aca="false">C35-D35</f>
        <v>2320.51688560606</v>
      </c>
      <c r="F35" s="31" t="n">
        <f aca="false">E35/(1+A_Diskont)^B35</f>
        <v>2145.44830399969</v>
      </c>
    </row>
    <row r="36" customFormat="false" ht="15" hidden="false" customHeight="false" outlineLevel="0" collapsed="false">
      <c r="B36" s="36" t="n">
        <v>3</v>
      </c>
      <c r="C36" s="31" t="n">
        <f aca="false">$C$10*(1+A_Energiepreis)^(B36-1)</f>
        <v>2551.4645</v>
      </c>
      <c r="D36" s="31" t="n">
        <f aca="false">$C$29*(1+A_Energiepreis)^(B36-1)</f>
        <v>161.332107825757</v>
      </c>
      <c r="E36" s="31" t="n">
        <f aca="false">C36-D36</f>
        <v>2390.13239217424</v>
      </c>
      <c r="F36" s="31" t="n">
        <f aca="false">E36/(1+A_Diskont)^B36</f>
        <v>2124.8189933843</v>
      </c>
    </row>
    <row r="37" customFormat="false" ht="15" hidden="false" customHeight="false" outlineLevel="0" collapsed="false">
      <c r="B37" s="36" t="n">
        <v>4</v>
      </c>
      <c r="C37" s="31" t="n">
        <f aca="false">$C$10*(1+A_Energiepreis)^(B37-1)</f>
        <v>2628.008435</v>
      </c>
      <c r="D37" s="31" t="n">
        <f aca="false">$C$29*(1+A_Energiepreis)^(B37-1)</f>
        <v>166.17207106053</v>
      </c>
      <c r="E37" s="31" t="n">
        <f aca="false">C37-D37</f>
        <v>2461.83636393947</v>
      </c>
      <c r="F37" s="31" t="n">
        <f aca="false">E37/(1+A_Diskont)^B37</f>
        <v>2104.38804152484</v>
      </c>
    </row>
    <row r="38" customFormat="false" ht="15" hidden="false" customHeight="false" outlineLevel="0" collapsed="false">
      <c r="B38" s="36" t="n">
        <v>5</v>
      </c>
      <c r="C38" s="31" t="n">
        <f aca="false">$C$10*(1+A_Energiepreis)^(B38-1)</f>
        <v>2706.84868805</v>
      </c>
      <c r="D38" s="31" t="n">
        <f aca="false">$C$29*(1+A_Energiepreis)^(B38-1)</f>
        <v>171.157233192346</v>
      </c>
      <c r="E38" s="31" t="n">
        <f aca="false">C38-D38</f>
        <v>2535.69145485765</v>
      </c>
      <c r="F38" s="31" t="n">
        <f aca="false">E38/(1+A_Diskont)^B38</f>
        <v>2084.15354112556</v>
      </c>
    </row>
    <row r="39" customFormat="false" ht="15" hidden="false" customHeight="false" outlineLevel="0" collapsed="false">
      <c r="B39" s="36" t="n">
        <v>6</v>
      </c>
      <c r="C39" s="31" t="n">
        <f aca="false">$C$10*(1+A_Energiepreis)^(B39-1)</f>
        <v>2788.0541486915</v>
      </c>
      <c r="D39" s="31" t="n">
        <f aca="false">$C$29*(1+A_Energiepreis)^(B39-1)</f>
        <v>176.291950188117</v>
      </c>
      <c r="E39" s="31" t="n">
        <f aca="false">C39-D39</f>
        <v>2611.76219850338</v>
      </c>
      <c r="F39" s="31" t="n">
        <f aca="false">E39/(1+A_Diskont)^B39</f>
        <v>2064.11360323012</v>
      </c>
    </row>
    <row r="40" customFormat="false" ht="15" hidden="false" customHeight="false" outlineLevel="0" collapsed="false">
      <c r="B40" s="36" t="n">
        <v>7</v>
      </c>
      <c r="C40" s="31" t="n">
        <f aca="false">$C$10*(1+A_Energiepreis)^(B40-1)</f>
        <v>2871.69577315225</v>
      </c>
      <c r="D40" s="31" t="n">
        <f aca="false">$C$29*(1+A_Energiepreis)^(B40-1)</f>
        <v>181.58070869376</v>
      </c>
      <c r="E40" s="31" t="n">
        <f aca="false">C40-D40</f>
        <v>2690.11506445849</v>
      </c>
      <c r="F40" s="31" t="n">
        <f aca="false">E40/(1+A_Diskont)^B40</f>
        <v>2044.26635704522</v>
      </c>
    </row>
    <row r="41" customFormat="false" ht="15" hidden="false" customHeight="false" outlineLevel="0" collapsed="false">
      <c r="B41" s="36" t="n">
        <v>8</v>
      </c>
      <c r="C41" s="31" t="n">
        <f aca="false">$C$10*(1+A_Energiepreis)^(B41-1)</f>
        <v>2957.84664634681</v>
      </c>
      <c r="D41" s="31" t="n">
        <f aca="false">$C$29*(1+A_Energiepreis)^(B41-1)</f>
        <v>187.028129954573</v>
      </c>
      <c r="E41" s="31" t="n">
        <f aca="false">C41-D41</f>
        <v>2770.81851639224</v>
      </c>
      <c r="F41" s="31" t="n">
        <f aca="false">E41/(1+A_Diskont)^B41</f>
        <v>2024.60994976594</v>
      </c>
    </row>
    <row r="42" customFormat="false" ht="15" hidden="false" customHeight="false" outlineLevel="0" collapsed="false">
      <c r="B42" s="36" t="n">
        <v>9</v>
      </c>
      <c r="C42" s="31" t="n">
        <f aca="false">$C$10*(1+A_Energiepreis)^(B42-1)</f>
        <v>3046.58204573722</v>
      </c>
      <c r="D42" s="31" t="n">
        <f aca="false">$C$29*(1+A_Energiepreis)^(B42-1)</f>
        <v>192.63897385321</v>
      </c>
      <c r="E42" s="31" t="n">
        <f aca="false">C42-D42</f>
        <v>2853.94307188401</v>
      </c>
      <c r="F42" s="31" t="n">
        <f aca="false">E42/(1+A_Diskont)^B42</f>
        <v>2005.1425464028</v>
      </c>
    </row>
    <row r="43" customFormat="false" ht="15" hidden="false" customHeight="false" outlineLevel="0" collapsed="false">
      <c r="B43" s="36" t="n">
        <v>10</v>
      </c>
      <c r="C43" s="31" t="n">
        <f aca="false">$C$10*(1+A_Energiepreis)^(B43-1)</f>
        <v>3137.97950710933</v>
      </c>
      <c r="D43" s="31" t="n">
        <f aca="false">$C$29*(1+A_Energiepreis)^(B43-1)</f>
        <v>198.418143068806</v>
      </c>
      <c r="E43" s="31" t="n">
        <f aca="false">C43-D43</f>
        <v>2939.56136404053</v>
      </c>
      <c r="F43" s="31" t="n">
        <f aca="false">E43/(1+A_Diskont)^B43</f>
        <v>1985.86232961047</v>
      </c>
    </row>
    <row r="44" customFormat="false" ht="15" hidden="false" customHeight="false" outlineLevel="0" collapsed="false">
      <c r="B44" s="36" t="n">
        <v>11</v>
      </c>
      <c r="C44" s="31" t="n">
        <f aca="false">$C$10*(1+A_Energiepreis)^(B44-1)</f>
        <v>3232.11889232261</v>
      </c>
      <c r="D44" s="31" t="n">
        <f aca="false">$C$29*(1+A_Energiepreis)^(B44-1)</f>
        <v>204.370687360871</v>
      </c>
      <c r="E44" s="31" t="n">
        <f aca="false">C44-D44</f>
        <v>3027.74820496174</v>
      </c>
      <c r="F44" s="31" t="n">
        <f aca="false">E44/(1+A_Diskont)^B44</f>
        <v>1966.76749951806</v>
      </c>
    </row>
    <row r="45" customFormat="false" ht="15" hidden="false" customHeight="false" outlineLevel="0" collapsed="false">
      <c r="B45" s="36" t="n">
        <v>12</v>
      </c>
      <c r="C45" s="31" t="n">
        <f aca="false">$C$10*(1+A_Energiepreis)^(B45-1)</f>
        <v>3329.08245909229</v>
      </c>
      <c r="D45" s="31" t="n">
        <f aca="false">$C$29*(1+A_Energiepreis)^(B45-1)</f>
        <v>210.501807981697</v>
      </c>
      <c r="E45" s="31" t="n">
        <f aca="false">C45-D45</f>
        <v>3118.5806511106</v>
      </c>
      <c r="F45" s="31" t="n">
        <f aca="false">E45/(1+A_Diskont)^B45</f>
        <v>1947.85627356116</v>
      </c>
    </row>
    <row r="46" customFormat="false" ht="15" hidden="false" customHeight="false" outlineLevel="0" collapsed="false">
      <c r="B46" s="36" t="n">
        <v>13</v>
      </c>
      <c r="C46" s="31" t="n">
        <f aca="false">$C$10*(1+A_Energiepreis)^(B46-1)</f>
        <v>3428.95493286506</v>
      </c>
      <c r="D46" s="31" t="n">
        <f aca="false">$C$29*(1+A_Energiepreis)^(B46-1)</f>
        <v>216.816862221148</v>
      </c>
      <c r="E46" s="31" t="n">
        <f aca="false">C46-D46</f>
        <v>3212.13807064391</v>
      </c>
      <c r="F46" s="31" t="n">
        <f aca="false">E46/(1+A_Diskont)^B46</f>
        <v>1929.12688631538</v>
      </c>
    </row>
    <row r="47" customFormat="false" ht="15" hidden="false" customHeight="false" outlineLevel="0" collapsed="false">
      <c r="B47" s="36" t="n">
        <v>14</v>
      </c>
      <c r="C47" s="31" t="n">
        <f aca="false">$C$10*(1+A_Energiepreis)^(B47-1)</f>
        <v>3531.82358085101</v>
      </c>
      <c r="D47" s="31" t="n">
        <f aca="false">$C$29*(1+A_Energiepreis)^(B47-1)</f>
        <v>223.321368087782</v>
      </c>
      <c r="E47" s="31" t="n">
        <f aca="false">C47-D47</f>
        <v>3308.50221276323</v>
      </c>
      <c r="F47" s="31" t="n">
        <f aca="false">E47/(1+A_Diskont)^B47</f>
        <v>1910.57758933158</v>
      </c>
    </row>
    <row r="48" customFormat="false" ht="15" hidden="false" customHeight="false" outlineLevel="0" collapsed="false">
      <c r="B48" s="36" t="n">
        <v>15</v>
      </c>
      <c r="C48" s="31" t="n">
        <f aca="false">$C$10*(1+A_Energiepreis)^(B48-1)</f>
        <v>3637.77828827654</v>
      </c>
      <c r="D48" s="31" t="n">
        <f aca="false">$C$29*(1+A_Energiepreis)^(B48-1)</f>
        <v>230.021009130415</v>
      </c>
      <c r="E48" s="31" t="n">
        <f aca="false">C48-D48</f>
        <v>3407.75727914613</v>
      </c>
      <c r="F48" s="31" t="n">
        <f aca="false">E48/(1+A_Diskont)^B48</f>
        <v>1892.20665097262</v>
      </c>
    </row>
    <row r="49" customFormat="false" ht="15" hidden="false" customHeight="false" outlineLevel="0" collapsed="false">
      <c r="B49" s="36" t="n">
        <v>16</v>
      </c>
      <c r="C49" s="31" t="n">
        <f aca="false">$C$10*(1+A_Energiepreis)^(B49-1)</f>
        <v>3746.91163692484</v>
      </c>
      <c r="D49" s="31" t="n">
        <f aca="false">$C$29*(1+A_Energiepreis)^(B49-1)</f>
        <v>236.921639404328</v>
      </c>
      <c r="E49" s="31" t="n">
        <f aca="false">C49-D49</f>
        <v>3509.98999752051</v>
      </c>
      <c r="F49" s="31" t="n">
        <f aca="false">E49/(1+A_Diskont)^B49</f>
        <v>1874.01235625173</v>
      </c>
    </row>
    <row r="50" customFormat="false" ht="15" hidden="false" customHeight="false" outlineLevel="0" collapsed="false">
      <c r="B50" s="36" t="n">
        <v>17</v>
      </c>
      <c r="C50" s="31" t="n">
        <f aca="false">$C$10*(1+A_Energiepreis)^(B50-1)</f>
        <v>3859.31898603259</v>
      </c>
      <c r="D50" s="31" t="n">
        <f aca="false">$C$29*(1+A_Energiepreis)^(B50-1)</f>
        <v>244.029288586458</v>
      </c>
      <c r="E50" s="31" t="n">
        <f aca="false">C50-D50</f>
        <v>3615.28969744613</v>
      </c>
      <c r="F50" s="31" t="n">
        <f aca="false">E50/(1+A_Diskont)^B50</f>
        <v>1855.99300667238</v>
      </c>
    </row>
    <row r="51" customFormat="false" ht="15" hidden="false" customHeight="false" outlineLevel="0" collapsed="false">
      <c r="B51" s="36" t="n">
        <v>18</v>
      </c>
      <c r="C51" s="31" t="n">
        <f aca="false">$C$10*(1+A_Energiepreis)^(B51-1)</f>
        <v>3975.09855561356</v>
      </c>
      <c r="D51" s="31" t="n">
        <f aca="false">$C$29*(1+A_Energiepreis)^(B51-1)</f>
        <v>251.350167244051</v>
      </c>
      <c r="E51" s="31" t="n">
        <f aca="false">C51-D51</f>
        <v>3723.74838836951</v>
      </c>
      <c r="F51" s="31" t="n">
        <f aca="false">E51/(1+A_Diskont)^B51</f>
        <v>1838.14692006976</v>
      </c>
    </row>
    <row r="52" customFormat="false" ht="15" hidden="false" customHeight="false" outlineLevel="0" collapsed="false">
      <c r="B52" s="36" t="n">
        <v>19</v>
      </c>
      <c r="C52" s="31" t="n">
        <f aca="false">$C$10*(1+A_Energiepreis)^(B52-1)</f>
        <v>4094.35151228197</v>
      </c>
      <c r="D52" s="31" t="n">
        <f aca="false">$C$29*(1+A_Energiepreis)^(B52-1)</f>
        <v>258.890672261373</v>
      </c>
      <c r="E52" s="31" t="n">
        <f aca="false">C52-D52</f>
        <v>3835.4608400206</v>
      </c>
      <c r="F52" s="31" t="n">
        <f aca="false">E52/(1+A_Diskont)^B52</f>
        <v>1820.47243045371</v>
      </c>
    </row>
    <row r="53" customFormat="false" ht="15" hidden="false" customHeight="false" outlineLevel="0" collapsed="false">
      <c r="B53" s="36" t="n">
        <v>20</v>
      </c>
      <c r="C53" s="31" t="n">
        <f aca="false">$C$10*(1+A_Energiepreis)^(B53-1)</f>
        <v>4217.18205765043</v>
      </c>
      <c r="D53" s="31" t="n">
        <f aca="false">$C$29*(1+A_Energiepreis)^(B53-1)</f>
        <v>266.657392429214</v>
      </c>
      <c r="E53" s="31" t="n">
        <f aca="false">C53-D53</f>
        <v>3950.52466522122</v>
      </c>
      <c r="F53" s="31" t="n">
        <f aca="false">E53/(1+A_Diskont)^B53</f>
        <v>1802.96788785319</v>
      </c>
    </row>
    <row r="54" customFormat="false" ht="15" hidden="false" customHeight="false" outlineLevel="0" collapsed="false">
      <c r="B54" s="32" t="s">
        <v>748</v>
      </c>
      <c r="C54" s="33" t="n">
        <f aca="false">SUM(F34:F53)</f>
        <v>39587.2090662727</v>
      </c>
    </row>
    <row r="55" customFormat="false" ht="15" hidden="false" customHeight="false" outlineLevel="0" collapsed="false">
      <c r="B55" s="4" t="s">
        <v>749</v>
      </c>
      <c r="C55" s="31" t="n">
        <f aca="false">SUM(E34:E53)</f>
        <v>60537.0463342112</v>
      </c>
    </row>
  </sheetData>
  <mergeCells count="6">
    <mergeCell ref="B3:E3"/>
    <mergeCell ref="B7:E7"/>
    <mergeCell ref="B12:E12"/>
    <mergeCell ref="B22:E22"/>
    <mergeCell ref="B28:E28"/>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8"/>
  </cols>
  <sheetData>
    <row r="1" customFormat="false" ht="17.35" hidden="false" customHeight="false" outlineLevel="0" collapsed="false">
      <c r="B1" s="1" t="s">
        <v>750</v>
      </c>
    </row>
    <row r="3" customFormat="false" ht="15" hidden="false" customHeight="false" outlineLevel="0" collapsed="false">
      <c r="B3" s="14" t="s">
        <v>751</v>
      </c>
      <c r="C3" s="14"/>
      <c r="D3" s="14"/>
      <c r="E3" s="14"/>
    </row>
    <row r="4" customFormat="false" ht="15" hidden="false" customHeight="false" outlineLevel="0" collapsed="false">
      <c r="B4" s="4" t="s">
        <v>752</v>
      </c>
      <c r="C4" s="43" t="n">
        <f aca="false">IF(10_VORLAGE!$C$21="EH 40 EE",A_NB_Mehrkosten_EH40,IF(10_VORLAGE!$C$21="EH 55 EE",A_NB_Mehrkosten_EH55,0))</f>
        <v>150</v>
      </c>
    </row>
    <row r="5" customFormat="false" ht="15" hidden="false" customHeight="false" outlineLevel="0" collapsed="false">
      <c r="B5" s="4" t="s">
        <v>753</v>
      </c>
      <c r="C5" s="31" t="n">
        <f aca="false">10_VORLAGE!$C$9*(A_NB_GEG+C4)*A_Regio</f>
        <v>370500</v>
      </c>
    </row>
    <row r="6" customFormat="false" ht="15" hidden="false" customHeight="false" outlineLevel="0" collapsed="false">
      <c r="B6" s="32" t="s">
        <v>754</v>
      </c>
      <c r="C6" s="33" t="n">
        <f aca="false">C5*(1+A_BNK)+10_VORLAGE!$C$9*A_Aussen+A_Anschluesse</f>
        <v>480585</v>
      </c>
    </row>
    <row r="8" customFormat="false" ht="15" hidden="false" customHeight="false" outlineLevel="0" collapsed="false">
      <c r="B8" s="14" t="s">
        <v>755</v>
      </c>
      <c r="C8" s="14"/>
      <c r="D8" s="14"/>
      <c r="E8" s="14"/>
    </row>
    <row r="9" customFormat="false" ht="15" hidden="false" customHeight="false" outlineLevel="0" collapsed="false">
      <c r="B9" s="32" t="s">
        <v>756</v>
      </c>
      <c r="C9" s="33" t="n">
        <f aca="false">C6*(1-A_Zielrabatt)</f>
        <v>384468</v>
      </c>
    </row>
    <row r="11" customFormat="false" ht="15" hidden="false" customHeight="false" outlineLevel="0" collapsed="false">
      <c r="B11" s="14" t="s">
        <v>757</v>
      </c>
      <c r="C11" s="14"/>
      <c r="D11" s="14"/>
      <c r="E11" s="14"/>
    </row>
    <row r="12" customFormat="false" ht="15" hidden="false" customHeight="false" outlineLevel="0" collapsed="false">
      <c r="B12" s="4" t="s">
        <v>758</v>
      </c>
      <c r="C12" s="13" t="n">
        <f aca="false">11_Kalkulation!$C$13-11_Kalkulation!$C$42</f>
        <v>309794.949780575</v>
      </c>
    </row>
    <row r="13" customFormat="false" ht="15" hidden="false" customHeight="false" outlineLevel="0" collapsed="false">
      <c r="B13" s="4" t="s">
        <v>759</v>
      </c>
      <c r="C13" s="31" t="n">
        <f aca="false">C9-C12</f>
        <v>74673.0502194246</v>
      </c>
    </row>
    <row r="14" customFormat="false" ht="15" hidden="false" customHeight="false" outlineLevel="0" collapsed="false">
      <c r="B14" s="4" t="s">
        <v>760</v>
      </c>
      <c r="C14" s="13" t="n">
        <f aca="false">10_VORLAGE!$C$32</f>
        <v>75000</v>
      </c>
    </row>
    <row r="15" customFormat="false" ht="15" hidden="false" customHeight="false" outlineLevel="0" collapsed="false">
      <c r="B15" s="32" t="s">
        <v>761</v>
      </c>
      <c r="C15" s="33" t="n">
        <f aca="false">C13+C14</f>
        <v>149673.050219425</v>
      </c>
    </row>
    <row r="16" customFormat="false" ht="15" hidden="false" customHeight="false" outlineLevel="0" collapsed="false">
      <c r="B16" s="4" t="s">
        <v>762</v>
      </c>
      <c r="C16" s="13" t="n">
        <f aca="false">10_VORLAGE!$C$8</f>
        <v>285000</v>
      </c>
    </row>
    <row r="17" customFormat="false" ht="15" hidden="false" customHeight="false" outlineLevel="0" collapsed="false">
      <c r="B17" s="32" t="s">
        <v>763</v>
      </c>
      <c r="C17" s="33" t="n">
        <f aca="false">C15-C16</f>
        <v>-135326.949780575</v>
      </c>
      <c r="E17" s="7" t="s">
        <v>764</v>
      </c>
    </row>
    <row r="20" customFormat="false" ht="15" hidden="false" customHeight="false" outlineLevel="0" collapsed="false">
      <c r="B20" s="14" t="s">
        <v>765</v>
      </c>
      <c r="C20" s="14"/>
      <c r="D20" s="14"/>
      <c r="E20" s="14"/>
      <c r="F20" s="14"/>
    </row>
    <row r="21" customFormat="false" ht="15" hidden="false" customHeight="false" outlineLevel="0" collapsed="false">
      <c r="B21" s="21" t="s">
        <v>766</v>
      </c>
      <c r="C21" s="45" t="n">
        <v>0.9</v>
      </c>
      <c r="D21" s="45" t="n">
        <v>1</v>
      </c>
      <c r="E21" s="45" t="n">
        <v>1.1</v>
      </c>
    </row>
    <row r="22" customFormat="false" ht="15" hidden="false" customHeight="false" outlineLevel="0" collapsed="false">
      <c r="B22" s="34" t="n">
        <v>0</v>
      </c>
      <c r="C22" s="31" t="n">
        <f aca="false">((10_VORLAGE!$C$9*(A_NB_GEG+C4)*0.9)*(1+A_BNK)+10_VORLAGE!$C$9*A_Aussen+A_Anschluesse)*(1-0)-C12+C14</f>
        <v>202441.550219425</v>
      </c>
      <c r="D22" s="31" t="n">
        <f aca="false">((10_VORLAGE!$C$9*(A_NB_GEG+C4)*1)*(1+A_BNK)+10_VORLAGE!$C$9*A_Aussen+A_Anschluesse)*(1-0)-C12+C14</f>
        <v>245790.050219425</v>
      </c>
      <c r="E22" s="31" t="n">
        <f aca="false">((10_VORLAGE!$C$9*(A_NB_GEG+C4)*1.1)*(1+A_BNK)+10_VORLAGE!$C$9*A_Aussen+A_Anschluesse)*(1-0)-C12+C14</f>
        <v>289138.550219425</v>
      </c>
    </row>
    <row r="23" customFormat="false" ht="15" hidden="false" customHeight="false" outlineLevel="0" collapsed="false">
      <c r="B23" s="34" t="n">
        <v>0.1</v>
      </c>
      <c r="C23" s="31" t="n">
        <f aca="false">((10_VORLAGE!$C$9*(A_NB_GEG+C4)*0.9)*(1+A_BNK)+10_VORLAGE!$C$9*A_Aussen+A_Anschluesse)*(1-0.1)-C12+C14</f>
        <v>158717.900219425</v>
      </c>
      <c r="D23" s="31" t="n">
        <f aca="false">((10_VORLAGE!$C$9*(A_NB_GEG+C4)*1)*(1+A_BNK)+10_VORLAGE!$C$9*A_Aussen+A_Anschluesse)*(1-0.1)-C12+C14</f>
        <v>197731.550219425</v>
      </c>
      <c r="E23" s="31" t="n">
        <f aca="false">((10_VORLAGE!$C$9*(A_NB_GEG+C4)*1.1)*(1+A_BNK)+10_VORLAGE!$C$9*A_Aussen+A_Anschluesse)*(1-0.1)-C12+C14</f>
        <v>236745.200219425</v>
      </c>
    </row>
    <row r="24" customFormat="false" ht="15" hidden="false" customHeight="false" outlineLevel="0" collapsed="false">
      <c r="B24" s="34" t="n">
        <v>0.2</v>
      </c>
      <c r="C24" s="31" t="n">
        <f aca="false">((10_VORLAGE!$C$9*(A_NB_GEG+C4)*0.9)*(1+A_BNK)+10_VORLAGE!$C$9*A_Aussen+A_Anschluesse)*(1-0.2)-C12+C14</f>
        <v>114994.250219425</v>
      </c>
      <c r="D24" s="31" t="n">
        <f aca="false">((10_VORLAGE!$C$9*(A_NB_GEG+C4)*1)*(1+A_BNK)+10_VORLAGE!$C$9*A_Aussen+A_Anschluesse)*(1-0.2)-C12+C14</f>
        <v>149673.050219425</v>
      </c>
      <c r="E24" s="31" t="n">
        <f aca="false">((10_VORLAGE!$C$9*(A_NB_GEG+C4)*1.1)*(1+A_BNK)+10_VORLAGE!$C$9*A_Aussen+A_Anschluesse)*(1-0.2)-C12+C14</f>
        <v>184351.850219425</v>
      </c>
    </row>
    <row r="25" customFormat="false" ht="15" hidden="false" customHeight="false" outlineLevel="0" collapsed="false">
      <c r="B25" s="34" t="n">
        <v>0.3</v>
      </c>
      <c r="C25" s="31" t="n">
        <f aca="false">((10_VORLAGE!$C$9*(A_NB_GEG+C4)*0.9)*(1+A_BNK)+10_VORLAGE!$C$9*A_Aussen+A_Anschluesse)*(1-0.3)-C12+C14</f>
        <v>71270.6002194246</v>
      </c>
      <c r="D25" s="31" t="n">
        <f aca="false">((10_VORLAGE!$C$9*(A_NB_GEG+C4)*1)*(1+A_BNK)+10_VORLAGE!$C$9*A_Aussen+A_Anschluesse)*(1-0.3)-C12+C14</f>
        <v>101614.550219425</v>
      </c>
      <c r="E25" s="31" t="n">
        <f aca="false">((10_VORLAGE!$C$9*(A_NB_GEG+C4)*1.1)*(1+A_BNK)+10_VORLAGE!$C$9*A_Aussen+A_Anschluesse)*(1-0.3)-C12+C14</f>
        <v>131958.500219425</v>
      </c>
    </row>
    <row r="27" customFormat="false" ht="15" hidden="false" customHeight="false" outlineLevel="0" collapsed="false">
      <c r="B27" s="7" t="s">
        <v>767</v>
      </c>
    </row>
  </sheetData>
  <mergeCells count="4">
    <mergeCell ref="B3:E3"/>
    <mergeCell ref="B8:E8"/>
    <mergeCell ref="B11:E11"/>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20"/>
    <col collapsed="false" customWidth="true" hidden="false" outlineLevel="0" max="4" min="4" style="0" width="12"/>
  </cols>
  <sheetData>
    <row r="1" customFormat="false" ht="17.35" hidden="false" customHeight="false" outlineLevel="0" collapsed="false">
      <c r="B1" s="1" t="s">
        <v>768</v>
      </c>
    </row>
    <row r="3" customFormat="false" ht="15" hidden="false" customHeight="false" outlineLevel="0" collapsed="false">
      <c r="B3" s="14" t="s">
        <v>769</v>
      </c>
      <c r="C3" s="14"/>
      <c r="D3" s="14"/>
      <c r="E3" s="14"/>
    </row>
    <row r="4" customFormat="false" ht="15" hidden="false" customHeight="false" outlineLevel="0" collapsed="false">
      <c r="B4" s="4" t="s">
        <v>770</v>
      </c>
      <c r="C4" s="46" t="n">
        <f aca="false">14_Betriebskosten!$C$9*14_Betriebskosten!$C$5/1000</f>
        <v>4834.05</v>
      </c>
      <c r="D4" s="7" t="s">
        <v>771</v>
      </c>
    </row>
    <row r="5" customFormat="false" ht="15" hidden="false" customHeight="false" outlineLevel="0" collapsed="false">
      <c r="B5" s="4" t="s">
        <v>772</v>
      </c>
      <c r="C5" s="44" t="n">
        <f aca="false">14_Betriebskosten!$C$26*A_CO2_Strom/1000</f>
        <v>459.596161616162</v>
      </c>
      <c r="D5" s="7" t="s">
        <v>771</v>
      </c>
    </row>
    <row r="6" customFormat="false" ht="15" hidden="false" customHeight="false" outlineLevel="0" collapsed="false">
      <c r="B6" s="4" t="s">
        <v>192</v>
      </c>
      <c r="C6" s="44" t="n">
        <f aca="false">14_Betriebskosten!$C$25*A_CO2_PV/1000</f>
        <v>753.125454545455</v>
      </c>
      <c r="D6" s="7" t="s">
        <v>771</v>
      </c>
    </row>
    <row r="7" customFormat="false" ht="15" hidden="false" customHeight="false" outlineLevel="0" collapsed="false">
      <c r="B7" s="32" t="s">
        <v>773</v>
      </c>
      <c r="C7" s="47" t="n">
        <f aca="false">C5-C6</f>
        <v>-293.529292929293</v>
      </c>
    </row>
    <row r="8" customFormat="false" ht="15" hidden="false" customHeight="false" outlineLevel="0" collapsed="false">
      <c r="B8" s="32" t="s">
        <v>774</v>
      </c>
      <c r="C8" s="47" t="n">
        <f aca="false">C4-C7</f>
        <v>5127.57929292929</v>
      </c>
    </row>
    <row r="10" customFormat="false" ht="15" hidden="false" customHeight="false" outlineLevel="0" collapsed="false">
      <c r="B10" s="14" t="s">
        <v>775</v>
      </c>
      <c r="C10" s="14"/>
      <c r="D10" s="14"/>
      <c r="E10" s="14"/>
    </row>
    <row r="11" customFormat="false" ht="15" hidden="false" customHeight="false" outlineLevel="0" collapsed="false">
      <c r="B11" s="4" t="s">
        <v>776</v>
      </c>
      <c r="C11" s="34" t="n">
        <f aca="false">14_Betriebskosten!$C$23/14_Betriebskosten!$C$20</f>
        <v>1.13240595611285</v>
      </c>
    </row>
    <row r="12" customFormat="false" ht="15" hidden="false" customHeight="false" outlineLevel="0" collapsed="false">
      <c r="B12" s="4" t="s">
        <v>777</v>
      </c>
      <c r="C12" s="4" t="str">
        <f aca="false">IF(OR(10_VORLAGE!$S$63="JA",10_VORLAGE!$S$64="JA"),"Nein - Wärmepumpe aktiv","Ja - keine Wärmepumpe in Kalkulation")</f>
        <v>Nein - Wärmepumpe aktiv</v>
      </c>
    </row>
    <row r="13" customFormat="false" ht="15" hidden="false" customHeight="false" outlineLevel="0" collapsed="false">
      <c r="B13" s="32" t="s">
        <v>778</v>
      </c>
      <c r="C13" s="5" t="str">
        <f aca="false">IF(NOT(OR(10_VORLAGE!$S$63="JA",10_VORLAGE!$S$64="JA")),"nicht erreichbar (fossile Heizung im Zielzustand)",IF(C11&gt;=1,"gruen: bilanziell klimaneutral",IF(C11&gt;=0.7,"gelb: teilweise gedeckt","rot: geringe Deckung")))</f>
        <v>gruen: bilanziell klimaneutral</v>
      </c>
    </row>
  </sheetData>
  <mergeCells count="2">
    <mergeCell ref="B3:E3"/>
    <mergeCell ref="B10:E10"/>
  </mergeCells>
  <conditionalFormatting sqref="C13">
    <cfRule type="expression" priority="2" aboveAverage="0" equalAverage="0" bottom="0" percent="0" rank="0" text="" dxfId="9">
      <formula>LEFT(C13,5)="gruen"</formula>
    </cfRule>
    <cfRule type="expression" priority="3" aboveAverage="0" equalAverage="0" bottom="0" percent="0" rank="0" text="" dxfId="11">
      <formula>LEFT(C13,4)="gelb"</formula>
    </cfRule>
    <cfRule type="expression" priority="4" aboveAverage="0" equalAverage="0" bottom="0" percent="0" rank="0" text="" dxfId="10">
      <formula>OR(LEFT(C13,3)="rot",LEFT(C13,5)="nicht")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Y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30"/>
    <col collapsed="false" customWidth="true" hidden="false" outlineLevel="0" max="4" min="4" style="0" width="12"/>
    <col collapsed="false" customWidth="true" hidden="false" outlineLevel="0" max="5" min="5" style="0" width="30"/>
    <col collapsed="false" customWidth="true" hidden="false" outlineLevel="0" max="10" min="6" style="0" width="12"/>
    <col collapsed="false" customWidth="true" hidden="false" outlineLevel="0" max="11" min="11" style="0" width="10"/>
    <col collapsed="false" customWidth="true" hidden="false" outlineLevel="0" max="12" min="12" style="0" width="14"/>
    <col collapsed="false" customWidth="true" hidden="false" outlineLevel="0" max="15" min="13" style="0" width="10"/>
    <col collapsed="false" customWidth="true" hidden="false" outlineLevel="0" max="18" min="16" style="0" width="12"/>
    <col collapsed="false" customWidth="true" hidden="false" outlineLevel="0" max="19" min="19" style="0" width="10"/>
    <col collapsed="false" customWidth="true" hidden="false" outlineLevel="0" max="20" min="20" style="0" width="12"/>
    <col collapsed="false" customWidth="true" hidden="false" outlineLevel="0" max="21" min="21" style="0" width="14"/>
    <col collapsed="false" customWidth="true" hidden="false" outlineLevel="0" max="23" min="22" style="0" width="26"/>
    <col collapsed="false" customWidth="true" hidden="true" outlineLevel="0" max="25" min="24" style="0" width="13"/>
  </cols>
  <sheetData>
    <row r="1" customFormat="false" ht="17.35" hidden="false" customHeight="false" outlineLevel="0" collapsed="false">
      <c r="B1" s="1" t="s">
        <v>525</v>
      </c>
    </row>
    <row r="3" customFormat="false" ht="15" hidden="false" customHeight="false" outlineLevel="0" collapsed="false">
      <c r="B3" s="14" t="s">
        <v>526</v>
      </c>
      <c r="C3" s="14"/>
      <c r="D3" s="14"/>
      <c r="E3" s="14"/>
    </row>
    <row r="4" customFormat="false" ht="15" hidden="false" customHeight="false" outlineLevel="0" collapsed="false">
      <c r="B4" s="4" t="s">
        <v>31</v>
      </c>
      <c r="C4" s="15" t="s">
        <v>779</v>
      </c>
    </row>
    <row r="5" customFormat="false" ht="15" hidden="false" customHeight="false" outlineLevel="0" collapsed="false">
      <c r="B5" s="4" t="s">
        <v>32</v>
      </c>
      <c r="C5" s="15" t="n">
        <v>32312</v>
      </c>
    </row>
    <row r="6" customFormat="false" ht="15" hidden="false" customHeight="false" outlineLevel="0" collapsed="false">
      <c r="B6" s="4" t="s">
        <v>33</v>
      </c>
      <c r="C6" s="15" t="s">
        <v>528</v>
      </c>
    </row>
    <row r="7" customFormat="false" ht="15" hidden="false" customHeight="false" outlineLevel="0" collapsed="false">
      <c r="B7" s="4" t="s">
        <v>34</v>
      </c>
      <c r="C7" s="15" t="n">
        <v>1982</v>
      </c>
    </row>
    <row r="8" customFormat="false" ht="15" hidden="false" customHeight="false" outlineLevel="0" collapsed="false">
      <c r="B8" s="4" t="s">
        <v>529</v>
      </c>
      <c r="C8" s="24" t="n">
        <v>279000</v>
      </c>
      <c r="D8" s="7" t="s">
        <v>57</v>
      </c>
    </row>
    <row r="9" customFormat="false" ht="15" hidden="false" customHeight="false" outlineLevel="0" collapsed="false">
      <c r="B9" s="4" t="s">
        <v>530</v>
      </c>
      <c r="C9" s="15" t="n">
        <v>138</v>
      </c>
      <c r="D9" s="7" t="s">
        <v>531</v>
      </c>
    </row>
    <row r="10" customFormat="false" ht="15" hidden="false" customHeight="false" outlineLevel="0" collapsed="false">
      <c r="B10" s="4" t="s">
        <v>532</v>
      </c>
      <c r="C10" s="15" t="n">
        <v>680</v>
      </c>
      <c r="D10" s="7" t="s">
        <v>531</v>
      </c>
    </row>
    <row r="11" customFormat="false" ht="15" hidden="false" customHeight="false" outlineLevel="0" collapsed="false">
      <c r="B11" s="4" t="s">
        <v>533</v>
      </c>
      <c r="C11" s="17" t="n">
        <v>105</v>
      </c>
      <c r="D11" s="7" t="s">
        <v>246</v>
      </c>
      <c r="E11" s="7" t="s">
        <v>534</v>
      </c>
    </row>
    <row r="12" customFormat="false" ht="15" hidden="false" customHeight="false" outlineLevel="0" collapsed="false">
      <c r="B12" s="4" t="s">
        <v>535</v>
      </c>
      <c r="C12" s="15" t="n">
        <v>1</v>
      </c>
      <c r="D12" s="7" t="s">
        <v>94</v>
      </c>
      <c r="E12" s="7" t="s">
        <v>536</v>
      </c>
    </row>
    <row r="13" customFormat="false" ht="15" hidden="false" customHeight="false" outlineLevel="0" collapsed="false">
      <c r="B13" s="4" t="s">
        <v>537</v>
      </c>
      <c r="C13" s="15" t="n">
        <v>2</v>
      </c>
    </row>
    <row r="14" customFormat="false" ht="15" hidden="false" customHeight="false" outlineLevel="0" collapsed="false">
      <c r="B14" s="4" t="s">
        <v>538</v>
      </c>
      <c r="C14" s="15" t="s">
        <v>539</v>
      </c>
    </row>
    <row r="15" customFormat="false" ht="15" hidden="false" customHeight="false" outlineLevel="0" collapsed="false">
      <c r="B15" s="4" t="s">
        <v>540</v>
      </c>
      <c r="C15" s="15" t="s">
        <v>541</v>
      </c>
    </row>
    <row r="16" customFormat="false" ht="15" hidden="false" customHeight="false" outlineLevel="0" collapsed="false">
      <c r="B16" s="4" t="s">
        <v>542</v>
      </c>
      <c r="C16" s="15" t="s">
        <v>239</v>
      </c>
    </row>
    <row r="17" customFormat="false" ht="15" hidden="false" customHeight="false" outlineLevel="0" collapsed="false">
      <c r="B17" s="4" t="s">
        <v>543</v>
      </c>
      <c r="C17" s="15" t="n">
        <v>165</v>
      </c>
      <c r="D17" s="7" t="s">
        <v>517</v>
      </c>
    </row>
    <row r="18" customFormat="false" ht="15" hidden="false" customHeight="false" outlineLevel="0" collapsed="false">
      <c r="B18" s="4" t="s">
        <v>544</v>
      </c>
      <c r="C18" s="15" t="s">
        <v>545</v>
      </c>
    </row>
    <row r="19" customFormat="false" ht="15" hidden="false" customHeight="false" outlineLevel="0" collapsed="false">
      <c r="B19" s="4" t="s">
        <v>546</v>
      </c>
      <c r="C19" s="15" t="n">
        <v>0</v>
      </c>
      <c r="D19" s="7" t="s">
        <v>547</v>
      </c>
    </row>
    <row r="20" customFormat="false" ht="15" hidden="false" customHeight="false" outlineLevel="0" collapsed="false">
      <c r="B20" s="4" t="s">
        <v>548</v>
      </c>
      <c r="C20" s="15" t="s">
        <v>239</v>
      </c>
    </row>
    <row r="21" customFormat="false" ht="15" hidden="false" customHeight="false" outlineLevel="0" collapsed="false">
      <c r="B21" s="4" t="s">
        <v>37</v>
      </c>
      <c r="C21" s="15" t="s">
        <v>519</v>
      </c>
    </row>
    <row r="22" customFormat="false" ht="15" hidden="false" customHeight="false" outlineLevel="0" collapsed="false">
      <c r="B22" s="4" t="s">
        <v>549</v>
      </c>
      <c r="C22" s="15" t="s">
        <v>60</v>
      </c>
      <c r="E22" s="7" t="s">
        <v>550</v>
      </c>
    </row>
    <row r="23" customFormat="false" ht="15" hidden="false" customHeight="false" outlineLevel="0" collapsed="false">
      <c r="B23" s="4" t="s">
        <v>551</v>
      </c>
      <c r="C23" s="15" t="s">
        <v>552</v>
      </c>
      <c r="E23" s="7" t="s">
        <v>553</v>
      </c>
    </row>
    <row r="24" customFormat="false" ht="15" hidden="false" customHeight="false" outlineLevel="0" collapsed="false">
      <c r="B24" s="4" t="s">
        <v>554</v>
      </c>
      <c r="C24" s="15" t="s">
        <v>60</v>
      </c>
    </row>
    <row r="25" customFormat="false" ht="15" hidden="false" customHeight="false" outlineLevel="0" collapsed="false">
      <c r="B25" s="4" t="s">
        <v>555</v>
      </c>
      <c r="C25" s="15" t="n">
        <v>2</v>
      </c>
      <c r="D25" s="7" t="s">
        <v>547</v>
      </c>
    </row>
    <row r="26" customFormat="false" ht="15" hidden="false" customHeight="false" outlineLevel="0" collapsed="false">
      <c r="B26" s="4" t="s">
        <v>556</v>
      </c>
      <c r="C26" s="15" t="n">
        <v>0</v>
      </c>
      <c r="D26" s="7" t="s">
        <v>69</v>
      </c>
    </row>
    <row r="27" customFormat="false" ht="15" hidden="false" customHeight="false" outlineLevel="0" collapsed="false">
      <c r="B27" s="4" t="s">
        <v>557</v>
      </c>
      <c r="C27" s="15" t="n">
        <v>6</v>
      </c>
      <c r="D27" s="7" t="s">
        <v>127</v>
      </c>
    </row>
    <row r="28" customFormat="false" ht="15" hidden="false" customHeight="false" outlineLevel="0" collapsed="false">
      <c r="B28" s="4" t="s">
        <v>558</v>
      </c>
      <c r="C28" s="15" t="s">
        <v>60</v>
      </c>
    </row>
    <row r="29" customFormat="false" ht="15" hidden="false" customHeight="false" outlineLevel="0" collapsed="false">
      <c r="B29" s="4" t="s">
        <v>559</v>
      </c>
      <c r="C29" s="24" t="n">
        <v>900</v>
      </c>
      <c r="D29" s="7" t="s">
        <v>560</v>
      </c>
    </row>
    <row r="30" customFormat="false" ht="15" hidden="false" customHeight="false" outlineLevel="0" collapsed="false">
      <c r="B30" s="4" t="s">
        <v>561</v>
      </c>
      <c r="C30" s="15" t="n">
        <v>0</v>
      </c>
      <c r="D30" s="7" t="s">
        <v>562</v>
      </c>
    </row>
    <row r="31" customFormat="false" ht="15" hidden="false" customHeight="false" outlineLevel="0" collapsed="false">
      <c r="B31" s="4" t="s">
        <v>563</v>
      </c>
      <c r="C31" s="15" t="s">
        <v>564</v>
      </c>
    </row>
    <row r="32" customFormat="false" ht="15" hidden="false" customHeight="false" outlineLevel="0" collapsed="false">
      <c r="B32" s="4" t="s">
        <v>565</v>
      </c>
      <c r="C32" s="25" t="n">
        <f aca="false">Obj_Grundstuecksflaeche*Obj_Bodenrichtwert*Obj_Anpassungsfaktor</f>
        <v>71400</v>
      </c>
      <c r="D32" s="7" t="s">
        <v>57</v>
      </c>
    </row>
    <row r="34" customFormat="false" ht="15" hidden="false" customHeight="false" outlineLevel="0" collapsed="false">
      <c r="B34" s="14" t="s">
        <v>566</v>
      </c>
      <c r="C34" s="14"/>
      <c r="D34" s="14"/>
      <c r="E34" s="14"/>
    </row>
    <row r="35" customFormat="false" ht="15" hidden="false" customHeight="false" outlineLevel="0" collapsed="false">
      <c r="B35" s="4" t="s">
        <v>567</v>
      </c>
      <c r="C35" s="26" t="n">
        <f aca="false">Obj_Wohnflaeche/Obj_Geschosse</f>
        <v>69</v>
      </c>
      <c r="D35" s="7" t="s">
        <v>531</v>
      </c>
    </row>
    <row r="36" customFormat="false" ht="15" hidden="false" customHeight="false" outlineLevel="0" collapsed="false">
      <c r="B36" s="4" t="s">
        <v>568</v>
      </c>
      <c r="C36" s="26" t="n">
        <f aca="false">A_F_Umfang*SQRT(Obj_Grundflaeche)</f>
        <v>34.0571578379641</v>
      </c>
      <c r="D36" s="7" t="s">
        <v>569</v>
      </c>
    </row>
    <row r="37" customFormat="false" ht="15" hidden="false" customHeight="false" outlineLevel="0" collapsed="false">
      <c r="B37" s="4" t="s">
        <v>570</v>
      </c>
      <c r="C37" s="26" t="n">
        <f aca="false">Obj_Umfang*Obj_Geschosse*A_F_Geschoss</f>
        <v>197.531515460192</v>
      </c>
      <c r="D37" s="7" t="s">
        <v>531</v>
      </c>
    </row>
    <row r="38" customFormat="false" ht="15" hidden="false" customHeight="false" outlineLevel="0" collapsed="false">
      <c r="B38" s="4" t="s">
        <v>571</v>
      </c>
      <c r="C38" s="26" t="n">
        <f aca="false">Obj_Fassadenflaeche*A_F_Fenster</f>
        <v>29.6297273190288</v>
      </c>
      <c r="D38" s="7" t="s">
        <v>531</v>
      </c>
    </row>
    <row r="39" customFormat="false" ht="15" hidden="false" customHeight="false" outlineLevel="0" collapsed="false">
      <c r="B39" s="4" t="s">
        <v>572</v>
      </c>
      <c r="C39" s="26" t="n">
        <f aca="false">Obj_Fensterflaeche/A_F_Fenstergr</f>
        <v>17.4292513641346</v>
      </c>
      <c r="D39" s="7" t="s">
        <v>547</v>
      </c>
    </row>
    <row r="40" customFormat="false" ht="15" hidden="false" customHeight="false" outlineLevel="0" collapsed="false">
      <c r="B40" s="4" t="s">
        <v>573</v>
      </c>
      <c r="C40" s="26" t="n">
        <f aca="false">IF(Obj_Dachform="Flachdach",Obj_Grundflaeche*A_F_Dach_flach,Obj_Grundflaeche*A_F_Dach)</f>
        <v>89.7</v>
      </c>
      <c r="D40" s="7" t="s">
        <v>531</v>
      </c>
    </row>
    <row r="41" customFormat="false" ht="15" hidden="false" customHeight="false" outlineLevel="0" collapsed="false">
      <c r="B41" s="4" t="s">
        <v>574</v>
      </c>
      <c r="C41" s="26" t="n">
        <f aca="false">ROUND(Obj_Wohnflaeche*A_F_HK,0)</f>
        <v>9</v>
      </c>
      <c r="D41" s="7" t="s">
        <v>547</v>
      </c>
    </row>
    <row r="42" customFormat="false" ht="15" hidden="false" customHeight="false" outlineLevel="0" collapsed="false">
      <c r="B42" s="4" t="s">
        <v>575</v>
      </c>
      <c r="C42" s="26" t="n">
        <f aca="false">ROUND(Obj_Wohnflaeche*A_F_Tueren,0)</f>
        <v>7</v>
      </c>
      <c r="D42" s="7" t="s">
        <v>547</v>
      </c>
    </row>
    <row r="43" customFormat="false" ht="15" hidden="false" customHeight="false" outlineLevel="0" collapsed="false">
      <c r="B43" s="4" t="s">
        <v>576</v>
      </c>
      <c r="C43" s="26" t="n">
        <f aca="false">ROUND(Obj_Wohnflaeche*A_F_Raeume,0)</f>
        <v>8</v>
      </c>
      <c r="D43" s="7" t="s">
        <v>547</v>
      </c>
    </row>
    <row r="44" customFormat="false" ht="15" hidden="false" customHeight="false" outlineLevel="0" collapsed="false">
      <c r="B44" s="4" t="s">
        <v>577</v>
      </c>
      <c r="C44" s="26" t="n">
        <f aca="false">Obj_Dachflaeche*A_PV_Anteil</f>
        <v>44.85</v>
      </c>
      <c r="D44" s="7" t="s">
        <v>531</v>
      </c>
    </row>
    <row r="45" customFormat="false" ht="15" hidden="false" customHeight="false" outlineLevel="0" collapsed="false">
      <c r="B45" s="4" t="s">
        <v>578</v>
      </c>
      <c r="C45" s="26" t="n">
        <f aca="false">IF(Obj_PV_kWp_Override&gt;0,Obj_PV_kWp_Override,Obj_PV_DachflaecheNutzbar/A_PV_Flaeche)</f>
        <v>8.15454545454545</v>
      </c>
      <c r="D45" s="7" t="s">
        <v>562</v>
      </c>
    </row>
    <row r="46" customFormat="false" ht="15" hidden="false" customHeight="false" outlineLevel="0" collapsed="false">
      <c r="B46" s="4" t="s">
        <v>579</v>
      </c>
      <c r="C46" s="26" t="n">
        <f aca="false">Obj_PV_kWp*A_Speicher_kWp</f>
        <v>8.15454545454545</v>
      </c>
      <c r="D46" s="7" t="s">
        <v>580</v>
      </c>
    </row>
    <row r="47" customFormat="false" ht="15" hidden="false" customHeight="false" outlineLevel="0" collapsed="false">
      <c r="B47" s="4" t="s">
        <v>581</v>
      </c>
      <c r="C47" s="26" t="n">
        <f aca="false">IF(Obj_PersonenOverride&gt;0,Obj_PersonenOverride,A_Personen)</f>
        <v>3</v>
      </c>
      <c r="D47" s="7" t="s">
        <v>69</v>
      </c>
    </row>
    <row r="49" customFormat="false" ht="15" hidden="false" customHeight="false" outlineLevel="0" collapsed="false">
      <c r="B49" s="14" t="s">
        <v>582</v>
      </c>
      <c r="C49" s="14"/>
      <c r="D49" s="14"/>
      <c r="E49" s="14"/>
      <c r="F49" s="14"/>
      <c r="G49" s="14"/>
      <c r="H49" s="14"/>
      <c r="I49" s="14"/>
      <c r="J49" s="14"/>
      <c r="K49" s="14"/>
      <c r="L49" s="14"/>
      <c r="M49" s="14"/>
      <c r="N49" s="14"/>
      <c r="O49" s="14"/>
      <c r="P49" s="14"/>
      <c r="Q49" s="14"/>
      <c r="R49" s="14"/>
      <c r="S49" s="14"/>
      <c r="T49" s="14"/>
      <c r="U49" s="14"/>
    </row>
    <row r="50" customFormat="false" ht="45" hidden="false" customHeight="true" outlineLevel="0" collapsed="false">
      <c r="B50" s="11" t="s">
        <v>223</v>
      </c>
      <c r="C50" s="11" t="s">
        <v>224</v>
      </c>
      <c r="D50" s="11" t="s">
        <v>225</v>
      </c>
      <c r="E50" s="11" t="s">
        <v>47</v>
      </c>
      <c r="F50" s="11" t="s">
        <v>583</v>
      </c>
      <c r="G50" s="11" t="s">
        <v>584</v>
      </c>
      <c r="H50" s="11" t="s">
        <v>585</v>
      </c>
      <c r="I50" s="11" t="s">
        <v>586</v>
      </c>
      <c r="J50" s="11" t="s">
        <v>587</v>
      </c>
      <c r="K50" s="11" t="s">
        <v>588</v>
      </c>
      <c r="L50" s="11" t="s">
        <v>589</v>
      </c>
      <c r="M50" s="11" t="s">
        <v>590</v>
      </c>
      <c r="N50" s="11" t="s">
        <v>591</v>
      </c>
      <c r="O50" s="11" t="s">
        <v>592</v>
      </c>
      <c r="P50" s="11" t="s">
        <v>593</v>
      </c>
      <c r="Q50" s="11" t="s">
        <v>594</v>
      </c>
      <c r="R50" s="11" t="s">
        <v>595</v>
      </c>
      <c r="S50" s="11" t="s">
        <v>596</v>
      </c>
      <c r="T50" s="11" t="s">
        <v>597</v>
      </c>
      <c r="U50" s="11" t="s">
        <v>598</v>
      </c>
      <c r="V50" s="11" t="s">
        <v>599</v>
      </c>
      <c r="W50" s="11" t="s">
        <v>600</v>
      </c>
    </row>
    <row r="51" customFormat="false" ht="91" hidden="false" customHeight="false" outlineLevel="0" collapsed="false">
      <c r="B51" s="18" t="s">
        <v>234</v>
      </c>
      <c r="C51" s="26" t="str">
        <f aca="false">INDEX(02_Massnahmenkatalog!$C:$C,MATCH($B51,02_Massnahmenkatalog!$B:$B,0))</f>
        <v>Hülle</v>
      </c>
      <c r="D51" s="27" t="str">
        <f aca="false">INDEX(02_Massnahmenkatalog!$D:$D,MATCH($B51,02_Massnahmenkatalog!$B:$B,0))</f>
        <v>Steildach komplett neu (Abriss+Aufsparrendämmung U≤0,14+Eindeckung+Klempner)</v>
      </c>
      <c r="E51" s="26" t="str">
        <f aca="false">INDEX(02_Massnahmenkatalog!$E:$E,MATCH($B51,02_Massnahmenkatalog!$B:$B,0))</f>
        <v>€/m² Dachfläche</v>
      </c>
      <c r="F51" s="18" t="n">
        <f aca="false">IF(Obj_Dachform="Satteldach",Obj_Dachflaeche,0)</f>
        <v>89.7</v>
      </c>
      <c r="G51" s="15"/>
      <c r="H51" s="18" t="n">
        <f aca="false">IF($G51="",$F51,$G51)</f>
        <v>89.7</v>
      </c>
      <c r="I51" s="28" t="n">
        <f aca="false">INDEX(02_Massnahmenkatalog!$F:$F,MATCH($B51,02_Massnahmenkatalog!$B:$B,0))</f>
        <v>520</v>
      </c>
      <c r="J51" s="20" t="n">
        <f aca="false">$H51*$I51</f>
        <v>46644</v>
      </c>
      <c r="K51" s="26" t="str">
        <f aca="false">INDEX(02_Massnahmenkatalog!$H:$H,MATCH($B51,02_Massnahmenkatalog!$B:$B,0))</f>
        <v>Ja</v>
      </c>
      <c r="L51" s="15"/>
      <c r="M51" s="15" t="n">
        <v>3</v>
      </c>
      <c r="N51" s="26" t="n">
        <f aca="false">INDEX(02_Massnahmenkatalog!$G:$G,MATCH($B51,02_Massnahmenkatalog!$B:$B,0))</f>
        <v>55</v>
      </c>
      <c r="O51" s="29" t="n">
        <f aca="false">INDEX(04_Nutzungsdauern!$C:$C,MATCH($M51,04_Nutzungsdauern!$B:$B,0))</f>
        <v>0.7</v>
      </c>
      <c r="P51" s="18" t="n">
        <f aca="false">$N51*$O51-(A_Jahr-IF($L51="",Obj_Baujahr,$L51))</f>
        <v>-5.5</v>
      </c>
      <c r="Q51" s="18" t="n">
        <f aca="false">A_Jahr+MAX(0,$P51)</f>
        <v>2026</v>
      </c>
      <c r="R51" s="15" t="s">
        <v>601</v>
      </c>
      <c r="S51" s="18" t="str">
        <f aca="false">IF($R51="Automatik",IF($Q51&lt;=A_Jahr+A_Horizont,"JA","NEIN"),IF(OR($R51="Sofort",$R51="In Horizont"),"JA","NEIN"))</f>
        <v>JA</v>
      </c>
      <c r="T51" s="16" t="n">
        <v>0</v>
      </c>
      <c r="U51" s="20" t="n">
        <f aca="false">IF(AND($K51="Ja",$S51="JA"),$J51*(1-$T51),0)</f>
        <v>46644</v>
      </c>
      <c r="V51" s="30" t="str">
        <f aca="false">IF(AND($S51="NEIN",OR(AND(Obj_Zielstandard="EH 55 EE",$X51="Ja"),AND(Obj_Zielstandard="EH 40 EE",$Y51="Ja"))),"Pflicht bei Zielstandard, aber nicht aufgenommen","")</f>
        <v/>
      </c>
      <c r="W51" s="15"/>
      <c r="X51" s="26" t="str">
        <f aca="false">INDEX(02_Massnahmenkatalog!$J:$J,MATCH($B51,02_Massnahmenkatalog!$B:$B,0))</f>
        <v>Ja</v>
      </c>
      <c r="Y51" s="26" t="str">
        <f aca="false">INDEX(02_Massnahmenkatalog!$K:$K,MATCH($B51,02_Massnahmenkatalog!$B:$B,0))</f>
        <v>Ja</v>
      </c>
    </row>
    <row r="52" customFormat="false" ht="68.65" hidden="false" customHeight="false" outlineLevel="0" collapsed="false">
      <c r="B52" s="18" t="s">
        <v>241</v>
      </c>
      <c r="C52" s="26" t="str">
        <f aca="false">INDEX(02_Massnahmenkatalog!$C:$C,MATCH($B52,02_Massnahmenkatalog!$B:$B,0))</f>
        <v>Hülle</v>
      </c>
      <c r="D52" s="27" t="str">
        <f aca="false">INDEX(02_Massnahmenkatalog!$D:$D,MATCH($B52,02_Massnahmenkatalog!$B:$B,0))</f>
        <v>Flachdachsanierung (PVC/FPO inkl. Gefälledämmung, Abriss)</v>
      </c>
      <c r="E52" s="26" t="str">
        <f aca="false">INDEX(02_Massnahmenkatalog!$E:$E,MATCH($B52,02_Massnahmenkatalog!$B:$B,0))</f>
        <v>€/m² Dachfläche</v>
      </c>
      <c r="F52" s="18" t="n">
        <f aca="false">IF(Obj_Dachform&lt;&gt;"Satteldach",Obj_Dachflaeche,0)</f>
        <v>0</v>
      </c>
      <c r="G52" s="15"/>
      <c r="H52" s="18" t="n">
        <f aca="false">IF($G52="",$F52,$G52)</f>
        <v>0</v>
      </c>
      <c r="I52" s="28" t="n">
        <f aca="false">INDEX(02_Massnahmenkatalog!$F:$F,MATCH($B52,02_Massnahmenkatalog!$B:$B,0))</f>
        <v>250</v>
      </c>
      <c r="J52" s="20" t="n">
        <f aca="false">$H52*$I52</f>
        <v>0</v>
      </c>
      <c r="K52" s="26" t="str">
        <f aca="false">INDEX(02_Massnahmenkatalog!$H:$H,MATCH($B52,02_Massnahmenkatalog!$B:$B,0))</f>
        <v>Ja</v>
      </c>
      <c r="L52" s="15"/>
      <c r="M52" s="15" t="n">
        <v>3</v>
      </c>
      <c r="N52" s="26" t="n">
        <f aca="false">INDEX(02_Massnahmenkatalog!$G:$G,MATCH($B52,02_Massnahmenkatalog!$B:$B,0))</f>
        <v>20</v>
      </c>
      <c r="O52" s="29" t="n">
        <f aca="false">INDEX(04_Nutzungsdauern!$C:$C,MATCH($M52,04_Nutzungsdauern!$B:$B,0))</f>
        <v>0.7</v>
      </c>
      <c r="P52" s="18" t="n">
        <f aca="false">$N52*$O52-(A_Jahr-IF($L52="",Obj_Baujahr,$L52))</f>
        <v>-30</v>
      </c>
      <c r="Q52" s="18" t="n">
        <f aca="false">A_Jahr+MAX(0,$P52)</f>
        <v>2026</v>
      </c>
      <c r="R52" s="15" t="s">
        <v>601</v>
      </c>
      <c r="S52" s="18" t="str">
        <f aca="false">IF($R52="Automatik",IF($Q52&lt;=A_Jahr+A_Horizont,"JA","NEIN"),IF(OR($R52="Sofort",$R52="In Horizont"),"JA","NEIN"))</f>
        <v>JA</v>
      </c>
      <c r="T52" s="16" t="n">
        <v>0</v>
      </c>
      <c r="U52" s="20" t="n">
        <f aca="false">IF(AND($K52="Ja",$S52="JA"),$J52*(1-$T52),0)</f>
        <v>0</v>
      </c>
      <c r="V52" s="30" t="str">
        <f aca="false">IF(AND($S52="NEIN",OR(AND(Obj_Zielstandard="EH 55 EE",$X52="Ja"),AND(Obj_Zielstandard="EH 40 EE",$Y52="Ja"))),"Pflicht bei Zielstandard, aber nicht aufgenommen","")</f>
        <v/>
      </c>
      <c r="W52" s="15"/>
      <c r="X52" s="26" t="str">
        <f aca="false">INDEX(02_Massnahmenkatalog!$J:$J,MATCH($B52,02_Massnahmenkatalog!$B:$B,0))</f>
        <v>Ja</v>
      </c>
      <c r="Y52" s="26" t="str">
        <f aca="false">INDEX(02_Massnahmenkatalog!$K:$K,MATCH($B52,02_Massnahmenkatalog!$B:$B,0))</f>
        <v>Ja</v>
      </c>
    </row>
    <row r="53" customFormat="false" ht="68.65" hidden="false" customHeight="false" outlineLevel="0" collapsed="false">
      <c r="B53" s="18" t="s">
        <v>244</v>
      </c>
      <c r="C53" s="26" t="str">
        <f aca="false">INDEX(02_Massnahmenkatalog!$C:$C,MATCH($B53,02_Massnahmenkatalog!$B:$B,0))</f>
        <v>Hülle</v>
      </c>
      <c r="D53" s="27" t="str">
        <f aca="false">INDEX(02_Massnahmenkatalog!$D:$D,MATCH($B53,02_Massnahmenkatalog!$B:$B,0))</f>
        <v>Dachbodendämmung oberste Geschossdecke (falls kein Dachausbau)</v>
      </c>
      <c r="E53" s="26" t="str">
        <f aca="false">INDEX(02_Massnahmenkatalog!$E:$E,MATCH($B53,02_Massnahmenkatalog!$B:$B,0))</f>
        <v>€/m²</v>
      </c>
      <c r="F53" s="18" t="n">
        <f aca="false">Obj_Grundflaeche</f>
        <v>69</v>
      </c>
      <c r="G53" s="15"/>
      <c r="H53" s="18" t="n">
        <f aca="false">IF($G53="",$F53,$G53)</f>
        <v>69</v>
      </c>
      <c r="I53" s="28" t="n">
        <f aca="false">INDEX(02_Massnahmenkatalog!$F:$F,MATCH($B53,02_Massnahmenkatalog!$B:$B,0))</f>
        <v>27</v>
      </c>
      <c r="J53" s="20" t="n">
        <f aca="false">$H53*$I53</f>
        <v>1863</v>
      </c>
      <c r="K53" s="26" t="str">
        <f aca="false">INDEX(02_Massnahmenkatalog!$H:$H,MATCH($B53,02_Massnahmenkatalog!$B:$B,0))</f>
        <v>Ja</v>
      </c>
      <c r="L53" s="15"/>
      <c r="M53" s="15" t="n">
        <v>3</v>
      </c>
      <c r="N53" s="26" t="n">
        <f aca="false">INDEX(02_Massnahmenkatalog!$G:$G,MATCH($B53,02_Massnahmenkatalog!$B:$B,0))</f>
        <v>40</v>
      </c>
      <c r="O53" s="29" t="n">
        <f aca="false">INDEX(04_Nutzungsdauern!$C:$C,MATCH($M53,04_Nutzungsdauern!$B:$B,0))</f>
        <v>0.7</v>
      </c>
      <c r="P53" s="18" t="n">
        <f aca="false">$N53*$O53-(A_Jahr-IF($L53="",Obj_Baujahr,$L53))</f>
        <v>-16</v>
      </c>
      <c r="Q53" s="18" t="n">
        <f aca="false">A_Jahr+MAX(0,$P53)</f>
        <v>2026</v>
      </c>
      <c r="R53" s="15" t="s">
        <v>601</v>
      </c>
      <c r="S53" s="18" t="str">
        <f aca="false">IF($R53="Automatik",IF($Q53&lt;=A_Jahr+A_Horizont,"JA","NEIN"),IF(OR($R53="Sofort",$R53="In Horizont"),"JA","NEIN"))</f>
        <v>JA</v>
      </c>
      <c r="T53" s="16" t="n">
        <v>0</v>
      </c>
      <c r="U53" s="20" t="n">
        <f aca="false">IF(AND($K53="Ja",$S53="JA"),$J53*(1-$T53),0)</f>
        <v>1863</v>
      </c>
      <c r="V53" s="30" t="str">
        <f aca="false">IF(AND($S53="NEIN",OR(AND(Obj_Zielstandard="EH 55 EE",$X53="Ja"),AND(Obj_Zielstandard="EH 40 EE",$Y53="Ja"))),"Pflicht bei Zielstandard, aber nicht aufgenommen","")</f>
        <v/>
      </c>
      <c r="W53" s="15"/>
      <c r="X53" s="26" t="str">
        <f aca="false">INDEX(02_Massnahmenkatalog!$J:$J,MATCH($B53,02_Massnahmenkatalog!$B:$B,0))</f>
        <v>Ja</v>
      </c>
      <c r="Y53" s="26" t="str">
        <f aca="false">INDEX(02_Massnahmenkatalog!$K:$K,MATCH($B53,02_Massnahmenkatalog!$B:$B,0))</f>
        <v>Ja</v>
      </c>
    </row>
    <row r="54" customFormat="false" ht="57.45" hidden="false" customHeight="false" outlineLevel="0" collapsed="false">
      <c r="B54" s="18" t="s">
        <v>248</v>
      </c>
      <c r="C54" s="26" t="str">
        <f aca="false">INDEX(02_Massnahmenkatalog!$C:$C,MATCH($B54,02_Massnahmenkatalog!$B:$B,0))</f>
        <v>Hülle</v>
      </c>
      <c r="D54" s="27" t="str">
        <f aca="false">INDEX(02_Massnahmenkatalog!$D:$D,MATCH($B54,02_Massnahmenkatalog!$B:$B,0))</f>
        <v>WDVS Außenwand (U≤0,20, 16cm) inkl. Gerüst+Putz</v>
      </c>
      <c r="E54" s="26" t="str">
        <f aca="false">INDEX(02_Massnahmenkatalog!$E:$E,MATCH($B54,02_Massnahmenkatalog!$B:$B,0))</f>
        <v>€/m² Fassade</v>
      </c>
      <c r="F54" s="18" t="n">
        <f aca="false">Obj_Fassadenflaeche</f>
        <v>197.531515460192</v>
      </c>
      <c r="G54" s="15"/>
      <c r="H54" s="18" t="n">
        <f aca="false">IF($G54="",$F54,$G54)</f>
        <v>197.531515460192</v>
      </c>
      <c r="I54" s="28" t="n">
        <f aca="false">INDEX(02_Massnahmenkatalog!$F:$F,MATCH($B54,02_Massnahmenkatalog!$B:$B,0))</f>
        <v>180</v>
      </c>
      <c r="J54" s="20" t="n">
        <f aca="false">$H54*$I54</f>
        <v>35555.6727828345</v>
      </c>
      <c r="K54" s="26" t="str">
        <f aca="false">INDEX(02_Massnahmenkatalog!$H:$H,MATCH($B54,02_Massnahmenkatalog!$B:$B,0))</f>
        <v>Ja</v>
      </c>
      <c r="L54" s="15"/>
      <c r="M54" s="15" t="n">
        <v>3</v>
      </c>
      <c r="N54" s="26" t="n">
        <f aca="false">INDEX(02_Massnahmenkatalog!$G:$G,MATCH($B54,02_Massnahmenkatalog!$B:$B,0))</f>
        <v>40</v>
      </c>
      <c r="O54" s="29" t="n">
        <f aca="false">INDEX(04_Nutzungsdauern!$C:$C,MATCH($M54,04_Nutzungsdauern!$B:$B,0))</f>
        <v>0.7</v>
      </c>
      <c r="P54" s="18" t="n">
        <f aca="false">$N54*$O54-(A_Jahr-IF($L54="",Obj_Baujahr,$L54))</f>
        <v>-16</v>
      </c>
      <c r="Q54" s="18" t="n">
        <f aca="false">A_Jahr+MAX(0,$P54)</f>
        <v>2026</v>
      </c>
      <c r="R54" s="15" t="s">
        <v>601</v>
      </c>
      <c r="S54" s="18" t="str">
        <f aca="false">IF($R54="Automatik",IF($Q54&lt;=A_Jahr+A_Horizont,"JA","NEIN"),IF(OR($R54="Sofort",$R54="In Horizont"),"JA","NEIN"))</f>
        <v>JA</v>
      </c>
      <c r="T54" s="16" t="n">
        <v>0</v>
      </c>
      <c r="U54" s="20" t="n">
        <f aca="false">IF(AND($K54="Ja",$S54="JA"),$J54*(1-$T54),0)</f>
        <v>35555.6727828345</v>
      </c>
      <c r="V54" s="30" t="str">
        <f aca="false">IF(AND($S54="NEIN",OR(AND(Obj_Zielstandard="EH 55 EE",$X54="Ja"),AND(Obj_Zielstandard="EH 40 EE",$Y54="Ja"))),"Pflicht bei Zielstandard, aber nicht aufgenommen","")</f>
        <v/>
      </c>
      <c r="W54" s="15"/>
      <c r="X54" s="26" t="str">
        <f aca="false">INDEX(02_Massnahmenkatalog!$J:$J,MATCH($B54,02_Massnahmenkatalog!$B:$B,0))</f>
        <v>Ja</v>
      </c>
      <c r="Y54" s="26" t="str">
        <f aca="false">INDEX(02_Massnahmenkatalog!$K:$K,MATCH($B54,02_Massnahmenkatalog!$B:$B,0))</f>
        <v>Ja</v>
      </c>
    </row>
    <row r="55" customFormat="false" ht="46.25" hidden="false" customHeight="false" outlineLevel="0" collapsed="false">
      <c r="B55" s="18" t="s">
        <v>252</v>
      </c>
      <c r="C55" s="26" t="str">
        <f aca="false">INDEX(02_Massnahmenkatalog!$C:$C,MATCH($B55,02_Massnahmenkatalog!$B:$B,0))</f>
        <v>Hülle</v>
      </c>
      <c r="D55" s="27" t="str">
        <f aca="false">INDEX(02_Massnahmenkatalog!$D:$D,MATCH($B55,02_Massnahmenkatalog!$B:$B,0))</f>
        <v>Fenster 3-fach-Verglasung inkl. Einbau</v>
      </c>
      <c r="E55" s="26" t="str">
        <f aca="false">INDEX(02_Massnahmenkatalog!$E:$E,MATCH($B55,02_Massnahmenkatalog!$B:$B,0))</f>
        <v>€/m² Fensterfläche</v>
      </c>
      <c r="F55" s="18" t="n">
        <f aca="false">Obj_Fensterflaeche</f>
        <v>29.6297273190288</v>
      </c>
      <c r="G55" s="15"/>
      <c r="H55" s="18" t="n">
        <f aca="false">IF($G55="",$F55,$G55)</f>
        <v>29.6297273190288</v>
      </c>
      <c r="I55" s="28" t="n">
        <f aca="false">INDEX(02_Massnahmenkatalog!$F:$F,MATCH($B55,02_Massnahmenkatalog!$B:$B,0))</f>
        <v>285</v>
      </c>
      <c r="J55" s="20" t="n">
        <f aca="false">$H55*$I55</f>
        <v>8444.4722859232</v>
      </c>
      <c r="K55" s="26" t="str">
        <f aca="false">INDEX(02_Massnahmenkatalog!$H:$H,MATCH($B55,02_Massnahmenkatalog!$B:$B,0))</f>
        <v>Ja</v>
      </c>
      <c r="L55" s="15"/>
      <c r="M55" s="15" t="n">
        <v>3</v>
      </c>
      <c r="N55" s="26" t="n">
        <f aca="false">INDEX(02_Massnahmenkatalog!$G:$G,MATCH($B55,02_Massnahmenkatalog!$B:$B,0))</f>
        <v>37</v>
      </c>
      <c r="O55" s="29" t="n">
        <f aca="false">INDEX(04_Nutzungsdauern!$C:$C,MATCH($M55,04_Nutzungsdauern!$B:$B,0))</f>
        <v>0.7</v>
      </c>
      <c r="P55" s="18" t="n">
        <f aca="false">$N55*$O55-(A_Jahr-IF($L55="",Obj_Baujahr,$L55))</f>
        <v>-18.1</v>
      </c>
      <c r="Q55" s="18" t="n">
        <f aca="false">A_Jahr+MAX(0,$P55)</f>
        <v>2026</v>
      </c>
      <c r="R55" s="15" t="s">
        <v>601</v>
      </c>
      <c r="S55" s="18" t="str">
        <f aca="false">IF($R55="Automatik",IF($Q55&lt;=A_Jahr+A_Horizont,"JA","NEIN"),IF(OR($R55="Sofort",$R55="In Horizont"),"JA","NEIN"))</f>
        <v>JA</v>
      </c>
      <c r="T55" s="16" t="n">
        <v>0</v>
      </c>
      <c r="U55" s="20" t="n">
        <f aca="false">IF(AND($K55="Ja",$S55="JA"),$J55*(1-$T55),0)</f>
        <v>8444.4722859232</v>
      </c>
      <c r="V55" s="30" t="str">
        <f aca="false">IF(AND($S55="NEIN",OR(AND(Obj_Zielstandard="EH 55 EE",$X55="Ja"),AND(Obj_Zielstandard="EH 40 EE",$Y55="Ja"))),"Pflicht bei Zielstandard, aber nicht aufgenommen","")</f>
        <v/>
      </c>
      <c r="W55" s="15" t="s">
        <v>780</v>
      </c>
      <c r="X55" s="26" t="str">
        <f aca="false">INDEX(02_Massnahmenkatalog!$J:$J,MATCH($B55,02_Massnahmenkatalog!$B:$B,0))</f>
        <v>Ja</v>
      </c>
      <c r="Y55" s="26" t="str">
        <f aca="false">INDEX(02_Massnahmenkatalog!$K:$K,MATCH($B55,02_Massnahmenkatalog!$B:$B,0))</f>
        <v>Ja</v>
      </c>
    </row>
    <row r="56" customFormat="false" ht="35.05" hidden="false" customHeight="false" outlineLevel="0" collapsed="false">
      <c r="B56" s="18" t="s">
        <v>256</v>
      </c>
      <c r="C56" s="26" t="str">
        <f aca="false">INDEX(02_Massnahmenkatalog!$C:$C,MATCH($B56,02_Massnahmenkatalog!$B:$B,0))</f>
        <v>Hülle</v>
      </c>
      <c r="D56" s="27" t="str">
        <f aca="false">INDEX(02_Massnahmenkatalog!$D:$D,MATCH($B56,02_Massnahmenkatalog!$B:$B,0))</f>
        <v>Haustür RC2/RC3 inkl. Einbau</v>
      </c>
      <c r="E56" s="26" t="str">
        <f aca="false">INDEX(02_Massnahmenkatalog!$E:$E,MATCH($B56,02_Massnahmenkatalog!$B:$B,0))</f>
        <v>€/Stück</v>
      </c>
      <c r="F56" s="18" t="n">
        <f aca="false">1</f>
        <v>1</v>
      </c>
      <c r="G56" s="15"/>
      <c r="H56" s="18" t="n">
        <f aca="false">IF($G56="",$F56,$G56)</f>
        <v>1</v>
      </c>
      <c r="I56" s="28" t="n">
        <f aca="false">INDEX(02_Massnahmenkatalog!$F:$F,MATCH($B56,02_Massnahmenkatalog!$B:$B,0))</f>
        <v>2800</v>
      </c>
      <c r="J56" s="20" t="n">
        <f aca="false">$H56*$I56</f>
        <v>2800</v>
      </c>
      <c r="K56" s="26" t="str">
        <f aca="false">INDEX(02_Massnahmenkatalog!$H:$H,MATCH($B56,02_Massnahmenkatalog!$B:$B,0))</f>
        <v>Ja</v>
      </c>
      <c r="L56" s="15"/>
      <c r="M56" s="15" t="n">
        <v>3</v>
      </c>
      <c r="N56" s="26" t="n">
        <f aca="false">INDEX(02_Massnahmenkatalog!$G:$G,MATCH($B56,02_Massnahmenkatalog!$B:$B,0))</f>
        <v>45</v>
      </c>
      <c r="O56" s="29" t="n">
        <f aca="false">INDEX(04_Nutzungsdauern!$C:$C,MATCH($M56,04_Nutzungsdauern!$B:$B,0))</f>
        <v>0.7</v>
      </c>
      <c r="P56" s="18" t="n">
        <f aca="false">$N56*$O56-(A_Jahr-IF($L56="",Obj_Baujahr,$L56))</f>
        <v>-12.5</v>
      </c>
      <c r="Q56" s="18" t="n">
        <f aca="false">A_Jahr+MAX(0,$P56)</f>
        <v>2026</v>
      </c>
      <c r="R56" s="15" t="s">
        <v>601</v>
      </c>
      <c r="S56" s="18" t="str">
        <f aca="false">IF($R56="Automatik",IF($Q56&lt;=A_Jahr+A_Horizont,"JA","NEIN"),IF(OR($R56="Sofort",$R56="In Horizont"),"JA","NEIN"))</f>
        <v>JA</v>
      </c>
      <c r="T56" s="16" t="n">
        <v>0</v>
      </c>
      <c r="U56" s="20" t="n">
        <f aca="false">IF(AND($K56="Ja",$S56="JA"),$J56*(1-$T56),0)</f>
        <v>2800</v>
      </c>
      <c r="V56" s="30" t="str">
        <f aca="false">IF(AND($S56="NEIN",OR(AND(Obj_Zielstandard="EH 55 EE",$X56="Ja"),AND(Obj_Zielstandard="EH 40 EE",$Y56="Ja"))),"Pflicht bei Zielstandard, aber nicht aufgenommen","")</f>
        <v/>
      </c>
      <c r="W56" s="15"/>
      <c r="X56" s="26" t="str">
        <f aca="false">INDEX(02_Massnahmenkatalog!$J:$J,MATCH($B56,02_Massnahmenkatalog!$B:$B,0))</f>
        <v>Nein</v>
      </c>
      <c r="Y56" s="26" t="str">
        <f aca="false">INDEX(02_Massnahmenkatalog!$K:$K,MATCH($B56,02_Massnahmenkatalog!$B:$B,0))</f>
        <v>Nein</v>
      </c>
    </row>
    <row r="57" customFormat="false" ht="35.05" hidden="false" customHeight="false" outlineLevel="0" collapsed="false">
      <c r="B57" s="18" t="s">
        <v>260</v>
      </c>
      <c r="C57" s="26" t="str">
        <f aca="false">INDEX(02_Massnahmenkatalog!$C:$C,MATCH($B57,02_Massnahmenkatalog!$B:$B,0))</f>
        <v>Hülle</v>
      </c>
      <c r="D57" s="27" t="str">
        <f aca="false">INDEX(02_Massnahmenkatalog!$D:$D,MATCH($B57,02_Massnahmenkatalog!$B:$B,0))</f>
        <v>Nebeneingangstür Stahl RC2</v>
      </c>
      <c r="E57" s="26" t="str">
        <f aca="false">INDEX(02_Massnahmenkatalog!$E:$E,MATCH($B57,02_Massnahmenkatalog!$B:$B,0))</f>
        <v>€/Stück</v>
      </c>
      <c r="F57" s="18" t="n">
        <f aca="false">MAX(0,Obj_Geschosse-1)</f>
        <v>1</v>
      </c>
      <c r="G57" s="15"/>
      <c r="H57" s="18" t="n">
        <f aca="false">IF($G57="",$F57,$G57)</f>
        <v>1</v>
      </c>
      <c r="I57" s="28" t="n">
        <f aca="false">INDEX(02_Massnahmenkatalog!$F:$F,MATCH($B57,02_Massnahmenkatalog!$B:$B,0))</f>
        <v>1000</v>
      </c>
      <c r="J57" s="20" t="n">
        <f aca="false">$H57*$I57</f>
        <v>1000</v>
      </c>
      <c r="K57" s="26" t="str">
        <f aca="false">INDEX(02_Massnahmenkatalog!$H:$H,MATCH($B57,02_Massnahmenkatalog!$B:$B,0))</f>
        <v>Ja</v>
      </c>
      <c r="L57" s="15"/>
      <c r="M57" s="15" t="n">
        <v>3</v>
      </c>
      <c r="N57" s="26" t="n">
        <f aca="false">INDEX(02_Massnahmenkatalog!$G:$G,MATCH($B57,02_Massnahmenkatalog!$B:$B,0))</f>
        <v>45</v>
      </c>
      <c r="O57" s="29" t="n">
        <f aca="false">INDEX(04_Nutzungsdauern!$C:$C,MATCH($M57,04_Nutzungsdauern!$B:$B,0))</f>
        <v>0.7</v>
      </c>
      <c r="P57" s="18" t="n">
        <f aca="false">$N57*$O57-(A_Jahr-IF($L57="",Obj_Baujahr,$L57))</f>
        <v>-12.5</v>
      </c>
      <c r="Q57" s="18" t="n">
        <f aca="false">A_Jahr+MAX(0,$P57)</f>
        <v>2026</v>
      </c>
      <c r="R57" s="15" t="s">
        <v>601</v>
      </c>
      <c r="S57" s="18" t="str">
        <f aca="false">IF($R57="Automatik",IF($Q57&lt;=A_Jahr+A_Horizont,"JA","NEIN"),IF(OR($R57="Sofort",$R57="In Horizont"),"JA","NEIN"))</f>
        <v>JA</v>
      </c>
      <c r="T57" s="16" t="n">
        <v>0</v>
      </c>
      <c r="U57" s="20" t="n">
        <f aca="false">IF(AND($K57="Ja",$S57="JA"),$J57*(1-$T57),0)</f>
        <v>1000</v>
      </c>
      <c r="V57" s="30" t="str">
        <f aca="false">IF(AND($S57="NEIN",OR(AND(Obj_Zielstandard="EH 55 EE",$X57="Ja"),AND(Obj_Zielstandard="EH 40 EE",$Y57="Ja"))),"Pflicht bei Zielstandard, aber nicht aufgenommen","")</f>
        <v/>
      </c>
      <c r="W57" s="15"/>
      <c r="X57" s="26" t="str">
        <f aca="false">INDEX(02_Massnahmenkatalog!$J:$J,MATCH($B57,02_Massnahmenkatalog!$B:$B,0))</f>
        <v>Nein</v>
      </c>
      <c r="Y57" s="26" t="str">
        <f aca="false">INDEX(02_Massnahmenkatalog!$K:$K,MATCH($B57,02_Massnahmenkatalog!$B:$B,0))</f>
        <v>Nein</v>
      </c>
    </row>
    <row r="58" customFormat="false" ht="35.05" hidden="false" customHeight="false" outlineLevel="0" collapsed="false">
      <c r="B58" s="18" t="s">
        <v>262</v>
      </c>
      <c r="C58" s="26" t="str">
        <f aca="false">INDEX(02_Massnahmenkatalog!$C:$C,MATCH($B58,02_Massnahmenkatalog!$B:$B,0))</f>
        <v>Hülle</v>
      </c>
      <c r="D58" s="27" t="str">
        <f aca="false">INDEX(02_Massnahmenkatalog!$D:$D,MATCH($B58,02_Massnahmenkatalog!$B:$B,0))</f>
        <v>Rollläden elektrisch nachrüsten</v>
      </c>
      <c r="E58" s="26" t="str">
        <f aca="false">INDEX(02_Massnahmenkatalog!$E:$E,MATCH($B58,02_Massnahmenkatalog!$B:$B,0))</f>
        <v>€/Fenster</v>
      </c>
      <c r="F58" s="18" t="n">
        <f aca="false">Obj_AnzFenster</f>
        <v>17.4292513641346</v>
      </c>
      <c r="G58" s="15"/>
      <c r="H58" s="18" t="n">
        <f aca="false">IF($G58="",$F58,$G58)</f>
        <v>17.4292513641346</v>
      </c>
      <c r="I58" s="28" t="n">
        <f aca="false">INDEX(02_Massnahmenkatalog!$F:$F,MATCH($B58,02_Massnahmenkatalog!$B:$B,0))</f>
        <v>850</v>
      </c>
      <c r="J58" s="20" t="n">
        <f aca="false">$H58*$I58</f>
        <v>14814.8636595144</v>
      </c>
      <c r="K58" s="26" t="str">
        <f aca="false">INDEX(02_Massnahmenkatalog!$H:$H,MATCH($B58,02_Massnahmenkatalog!$B:$B,0))</f>
        <v>Ja</v>
      </c>
      <c r="L58" s="15"/>
      <c r="M58" s="15" t="n">
        <v>3</v>
      </c>
      <c r="N58" s="26" t="n">
        <f aca="false">INDEX(02_Massnahmenkatalog!$G:$G,MATCH($B58,02_Massnahmenkatalog!$B:$B,0))</f>
        <v>30</v>
      </c>
      <c r="O58" s="29" t="n">
        <f aca="false">INDEX(04_Nutzungsdauern!$C:$C,MATCH($M58,04_Nutzungsdauern!$B:$B,0))</f>
        <v>0.7</v>
      </c>
      <c r="P58" s="18" t="n">
        <f aca="false">$N58*$O58-(A_Jahr-IF($L58="",Obj_Baujahr,$L58))</f>
        <v>-23</v>
      </c>
      <c r="Q58" s="18" t="n">
        <f aca="false">A_Jahr+MAX(0,$P58)</f>
        <v>2026</v>
      </c>
      <c r="R58" s="15" t="s">
        <v>601</v>
      </c>
      <c r="S58" s="18" t="str">
        <f aca="false">IF($R58="Automatik",IF($Q58&lt;=A_Jahr+A_Horizont,"JA","NEIN"),IF(OR($R58="Sofort",$R58="In Horizont"),"JA","NEIN"))</f>
        <v>JA</v>
      </c>
      <c r="T58" s="16" t="n">
        <v>0</v>
      </c>
      <c r="U58" s="20" t="n">
        <f aca="false">IF(AND($K58="Ja",$S58="JA"),$J58*(1-$T58),0)</f>
        <v>14814.8636595144</v>
      </c>
      <c r="V58" s="30" t="str">
        <f aca="false">IF(AND($S58="NEIN",OR(AND(Obj_Zielstandard="EH 55 EE",$X58="Ja"),AND(Obj_Zielstandard="EH 40 EE",$Y58="Ja"))),"Pflicht bei Zielstandard, aber nicht aufgenommen","")</f>
        <v/>
      </c>
      <c r="W58" s="15"/>
      <c r="X58" s="26" t="str">
        <f aca="false">INDEX(02_Massnahmenkatalog!$J:$J,MATCH($B58,02_Massnahmenkatalog!$B:$B,0))</f>
        <v>Nein</v>
      </c>
      <c r="Y58" s="26" t="str">
        <f aca="false">INDEX(02_Massnahmenkatalog!$K:$K,MATCH($B58,02_Massnahmenkatalog!$B:$B,0))</f>
        <v>Nein</v>
      </c>
    </row>
    <row r="59" customFormat="false" ht="35.05" hidden="false" customHeight="false" outlineLevel="0" collapsed="false">
      <c r="B59" s="18" t="s">
        <v>265</v>
      </c>
      <c r="C59" s="26" t="str">
        <f aca="false">INDEX(02_Massnahmenkatalog!$C:$C,MATCH($B59,02_Massnahmenkatalog!$B:$B,0))</f>
        <v>Hülle</v>
      </c>
      <c r="D59" s="27" t="str">
        <f aca="false">INDEX(02_Massnahmenkatalog!$D:$D,MATCH($B59,02_Massnahmenkatalog!$B:$B,0))</f>
        <v>Kellerdeckendämmung von unten</v>
      </c>
      <c r="E59" s="26" t="str">
        <f aca="false">INDEX(02_Massnahmenkatalog!$E:$E,MATCH($B59,02_Massnahmenkatalog!$B:$B,0))</f>
        <v>€/m²</v>
      </c>
      <c r="F59" s="18" t="n">
        <f aca="false">IF(Obj_KellerTyp&lt;&gt;"Kein Keller",Obj_Grundflaeche,0)</f>
        <v>69</v>
      </c>
      <c r="G59" s="15"/>
      <c r="H59" s="18" t="n">
        <f aca="false">IF($G59="",$F59,$G59)</f>
        <v>69</v>
      </c>
      <c r="I59" s="28" t="n">
        <f aca="false">INDEX(02_Massnahmenkatalog!$F:$F,MATCH($B59,02_Massnahmenkatalog!$B:$B,0))</f>
        <v>32</v>
      </c>
      <c r="J59" s="20" t="n">
        <f aca="false">$H59*$I59</f>
        <v>2208</v>
      </c>
      <c r="K59" s="26" t="str">
        <f aca="false">INDEX(02_Massnahmenkatalog!$H:$H,MATCH($B59,02_Massnahmenkatalog!$B:$B,0))</f>
        <v>Ja</v>
      </c>
      <c r="L59" s="15"/>
      <c r="M59" s="15" t="n">
        <v>3</v>
      </c>
      <c r="N59" s="26" t="n">
        <f aca="false">INDEX(02_Massnahmenkatalog!$G:$G,MATCH($B59,02_Massnahmenkatalog!$B:$B,0))</f>
        <v>40</v>
      </c>
      <c r="O59" s="29" t="n">
        <f aca="false">INDEX(04_Nutzungsdauern!$C:$C,MATCH($M59,04_Nutzungsdauern!$B:$B,0))</f>
        <v>0.7</v>
      </c>
      <c r="P59" s="18" t="n">
        <f aca="false">$N59*$O59-(A_Jahr-IF($L59="",Obj_Baujahr,$L59))</f>
        <v>-16</v>
      </c>
      <c r="Q59" s="18" t="n">
        <f aca="false">A_Jahr+MAX(0,$P59)</f>
        <v>2026</v>
      </c>
      <c r="R59" s="15" t="s">
        <v>601</v>
      </c>
      <c r="S59" s="18" t="str">
        <f aca="false">IF($R59="Automatik",IF($Q59&lt;=A_Jahr+A_Horizont,"JA","NEIN"),IF(OR($R59="Sofort",$R59="In Horizont"),"JA","NEIN"))</f>
        <v>JA</v>
      </c>
      <c r="T59" s="16" t="n">
        <v>0</v>
      </c>
      <c r="U59" s="20" t="n">
        <f aca="false">IF(AND($K59="Ja",$S59="JA"),$J59*(1-$T59),0)</f>
        <v>2208</v>
      </c>
      <c r="V59" s="30" t="str">
        <f aca="false">IF(AND($S59="NEIN",OR(AND(Obj_Zielstandard="EH 55 EE",$X59="Ja"),AND(Obj_Zielstandard="EH 40 EE",$Y59="Ja"))),"Pflicht bei Zielstandard, aber nicht aufgenommen","")</f>
        <v/>
      </c>
      <c r="W59" s="15"/>
      <c r="X59" s="26" t="str">
        <f aca="false">INDEX(02_Massnahmenkatalog!$J:$J,MATCH($B59,02_Massnahmenkatalog!$B:$B,0))</f>
        <v>Ja</v>
      </c>
      <c r="Y59" s="26" t="str">
        <f aca="false">INDEX(02_Massnahmenkatalog!$K:$K,MATCH($B59,02_Massnahmenkatalog!$B:$B,0))</f>
        <v>Ja</v>
      </c>
    </row>
    <row r="60" customFormat="false" ht="46.25" hidden="false" customHeight="false" outlineLevel="0" collapsed="false">
      <c r="B60" s="18" t="s">
        <v>268</v>
      </c>
      <c r="C60" s="26" t="str">
        <f aca="false">INDEX(02_Massnahmenkatalog!$C:$C,MATCH($B60,02_Massnahmenkatalog!$B:$B,0))</f>
        <v>Hülle</v>
      </c>
      <c r="D60" s="27" t="str">
        <f aca="false">INDEX(02_Massnahmenkatalog!$D:$D,MATCH($B60,02_Massnahmenkatalog!$B:$B,0))</f>
        <v>Perimeterdämmung + Kellerabdichtung außen</v>
      </c>
      <c r="E60" s="26" t="str">
        <f aca="false">INDEX(02_Massnahmenkatalog!$E:$E,MATCH($B60,02_Massnahmenkatalog!$B:$B,0))</f>
        <v>€/lfm Umfang</v>
      </c>
      <c r="F60" s="18" t="n">
        <f aca="false">IF(Obj_KellerTyp="Vollkeller",Obj_Umfang,0)</f>
        <v>34.0571578379641</v>
      </c>
      <c r="G60" s="15"/>
      <c r="H60" s="18" t="n">
        <f aca="false">IF($G60="",$F60,$G60)</f>
        <v>34.0571578379641</v>
      </c>
      <c r="I60" s="28" t="n">
        <f aca="false">INDEX(02_Massnahmenkatalog!$F:$F,MATCH($B60,02_Massnahmenkatalog!$B:$B,0))</f>
        <v>300</v>
      </c>
      <c r="J60" s="20" t="n">
        <f aca="false">$H60*$I60</f>
        <v>10217.1473513892</v>
      </c>
      <c r="K60" s="26" t="str">
        <f aca="false">INDEX(02_Massnahmenkatalog!$H:$H,MATCH($B60,02_Massnahmenkatalog!$B:$B,0))</f>
        <v>Ja</v>
      </c>
      <c r="L60" s="15"/>
      <c r="M60" s="15" t="n">
        <v>3</v>
      </c>
      <c r="N60" s="26" t="n">
        <f aca="false">INDEX(02_Massnahmenkatalog!$G:$G,MATCH($B60,02_Massnahmenkatalog!$B:$B,0))</f>
        <v>40</v>
      </c>
      <c r="O60" s="29" t="n">
        <f aca="false">INDEX(04_Nutzungsdauern!$C:$C,MATCH($M60,04_Nutzungsdauern!$B:$B,0))</f>
        <v>0.7</v>
      </c>
      <c r="P60" s="18" t="n">
        <f aca="false">$N60*$O60-(A_Jahr-IF($L60="",Obj_Baujahr,$L60))</f>
        <v>-16</v>
      </c>
      <c r="Q60" s="18" t="n">
        <f aca="false">A_Jahr+MAX(0,$P60)</f>
        <v>2026</v>
      </c>
      <c r="R60" s="15" t="s">
        <v>601</v>
      </c>
      <c r="S60" s="18" t="str">
        <f aca="false">IF($R60="Automatik",IF($Q60&lt;=A_Jahr+A_Horizont,"JA","NEIN"),IF(OR($R60="Sofort",$R60="In Horizont"),"JA","NEIN"))</f>
        <v>JA</v>
      </c>
      <c r="T60" s="16" t="n">
        <v>0</v>
      </c>
      <c r="U60" s="20" t="n">
        <f aca="false">IF(AND($K60="Ja",$S60="JA"),$J60*(1-$T60),0)</f>
        <v>10217.1473513892</v>
      </c>
      <c r="V60" s="30" t="str">
        <f aca="false">IF(AND($S60="NEIN",OR(AND(Obj_Zielstandard="EH 55 EE",$X60="Ja"),AND(Obj_Zielstandard="EH 40 EE",$Y60="Ja"))),"Pflicht bei Zielstandard, aber nicht aufgenommen","")</f>
        <v/>
      </c>
      <c r="W60" s="15"/>
      <c r="X60" s="26" t="str">
        <f aca="false">INDEX(02_Massnahmenkatalog!$J:$J,MATCH($B60,02_Massnahmenkatalog!$B:$B,0))</f>
        <v>Nein</v>
      </c>
      <c r="Y60" s="26" t="str">
        <f aca="false">INDEX(02_Massnahmenkatalog!$K:$K,MATCH($B60,02_Massnahmenkatalog!$B:$B,0))</f>
        <v>Nein</v>
      </c>
    </row>
    <row r="61" customFormat="false" ht="35.05" hidden="false" customHeight="false" outlineLevel="0" collapsed="false">
      <c r="B61" s="18" t="s">
        <v>272</v>
      </c>
      <c r="C61" s="26" t="str">
        <f aca="false">INDEX(02_Massnahmenkatalog!$C:$C,MATCH($B61,02_Massnahmenkatalog!$B:$B,0))</f>
        <v>Hülle</v>
      </c>
      <c r="D61" s="27" t="str">
        <f aca="false">INDEX(02_Massnahmenkatalog!$D:$D,MATCH($B61,02_Massnahmenkatalog!$B:$B,0))</f>
        <v>Gerüst (Fassade+Dach, pauschal)</v>
      </c>
      <c r="E61" s="26" t="str">
        <f aca="false">INDEX(02_Massnahmenkatalog!$E:$E,MATCH($B61,02_Massnahmenkatalog!$B:$B,0))</f>
        <v>€ pauschal</v>
      </c>
      <c r="F61" s="18" t="n">
        <f aca="false">1</f>
        <v>1</v>
      </c>
      <c r="G61" s="15"/>
      <c r="H61" s="18" t="n">
        <f aca="false">IF($G61="",$F61,$G61)</f>
        <v>1</v>
      </c>
      <c r="I61" s="28" t="n">
        <f aca="false">INDEX(02_Massnahmenkatalog!$F:$F,MATCH($B61,02_Massnahmenkatalog!$B:$B,0))</f>
        <v>2700</v>
      </c>
      <c r="J61" s="20" t="n">
        <f aca="false">$H61*$I61</f>
        <v>2700</v>
      </c>
      <c r="K61" s="26" t="str">
        <f aca="false">INDEX(02_Massnahmenkatalog!$H:$H,MATCH($B61,02_Massnahmenkatalog!$B:$B,0))</f>
        <v>Nein</v>
      </c>
      <c r="L61" s="15"/>
      <c r="M61" s="15" t="n">
        <v>3</v>
      </c>
      <c r="N61" s="26" t="n">
        <f aca="false">INDEX(02_Massnahmenkatalog!$G:$G,MATCH($B61,02_Massnahmenkatalog!$B:$B,0))</f>
        <v>0</v>
      </c>
      <c r="O61" s="29" t="n">
        <f aca="false">INDEX(04_Nutzungsdauern!$C:$C,MATCH($M61,04_Nutzungsdauern!$B:$B,0))</f>
        <v>0.7</v>
      </c>
      <c r="P61" s="18" t="n">
        <f aca="false">$N61*$O61-(A_Jahr-IF($L61="",Obj_Baujahr,$L61))</f>
        <v>-44</v>
      </c>
      <c r="Q61" s="18" t="n">
        <f aca="false">A_Jahr+MAX(0,$P61)</f>
        <v>2026</v>
      </c>
      <c r="R61" s="15" t="s">
        <v>601</v>
      </c>
      <c r="S61" s="18" t="str">
        <f aca="false">IF($R61="Automatik",IF($Q61&lt;=A_Jahr+A_Horizont,"JA","NEIN"),IF(OR($R61="Sofort",$R61="In Horizont"),"JA","NEIN"))</f>
        <v>JA</v>
      </c>
      <c r="T61" s="16" t="n">
        <v>0</v>
      </c>
      <c r="U61" s="20" t="n">
        <f aca="false">IF(AND($K61="Ja",$S61="JA"),$J61*(1-$T61),0)</f>
        <v>0</v>
      </c>
      <c r="V61" s="30" t="str">
        <f aca="false">IF(AND($S61="NEIN",OR(AND(Obj_Zielstandard="EH 55 EE",$X61="Ja"),AND(Obj_Zielstandard="EH 40 EE",$Y61="Ja"))),"Pflicht bei Zielstandard, aber nicht aufgenommen","")</f>
        <v/>
      </c>
      <c r="W61" s="15"/>
      <c r="X61" s="26" t="str">
        <f aca="false">INDEX(02_Massnahmenkatalog!$J:$J,MATCH($B61,02_Massnahmenkatalog!$B:$B,0))</f>
        <v>Nein</v>
      </c>
      <c r="Y61" s="26" t="str">
        <f aca="false">INDEX(02_Massnahmenkatalog!$K:$K,MATCH($B61,02_Massnahmenkatalog!$B:$B,0))</f>
        <v>Nein</v>
      </c>
    </row>
    <row r="62" customFormat="false" ht="46.25" hidden="false" customHeight="false" outlineLevel="0" collapsed="false">
      <c r="B62" s="18" t="s">
        <v>275</v>
      </c>
      <c r="C62" s="26" t="str">
        <f aca="false">INDEX(02_Massnahmenkatalog!$C:$C,MATCH($B62,02_Massnahmenkatalog!$B:$B,0))</f>
        <v>Hülle</v>
      </c>
      <c r="D62" s="27" t="str">
        <f aca="false">INDEX(02_Massnahmenkatalog!$D:$D,MATCH($B62,02_Massnahmenkatalog!$B:$B,0))</f>
        <v>Blower-Door-Test + Wärmebrückennachweis</v>
      </c>
      <c r="E62" s="26" t="str">
        <f aca="false">INDEX(02_Massnahmenkatalog!$E:$E,MATCH($B62,02_Massnahmenkatalog!$B:$B,0))</f>
        <v>€ pauschal</v>
      </c>
      <c r="F62" s="18" t="n">
        <f aca="false">1</f>
        <v>1</v>
      </c>
      <c r="G62" s="15"/>
      <c r="H62" s="18" t="n">
        <f aca="false">IF($G62="",$F62,$G62)</f>
        <v>1</v>
      </c>
      <c r="I62" s="28" t="n">
        <f aca="false">INDEX(02_Massnahmenkatalog!$F:$F,MATCH($B62,02_Massnahmenkatalog!$B:$B,0))</f>
        <v>1140</v>
      </c>
      <c r="J62" s="20" t="n">
        <f aca="false">$H62*$I62</f>
        <v>1140</v>
      </c>
      <c r="K62" s="26" t="str">
        <f aca="false">INDEX(02_Massnahmenkatalog!$H:$H,MATCH($B62,02_Massnahmenkatalog!$B:$B,0))</f>
        <v>Ja</v>
      </c>
      <c r="L62" s="15"/>
      <c r="M62" s="15" t="n">
        <v>3</v>
      </c>
      <c r="N62" s="26" t="n">
        <f aca="false">INDEX(02_Massnahmenkatalog!$G:$G,MATCH($B62,02_Massnahmenkatalog!$B:$B,0))</f>
        <v>0</v>
      </c>
      <c r="O62" s="29" t="n">
        <f aca="false">INDEX(04_Nutzungsdauern!$C:$C,MATCH($M62,04_Nutzungsdauern!$B:$B,0))</f>
        <v>0.7</v>
      </c>
      <c r="P62" s="18" t="n">
        <f aca="false">$N62*$O62-(A_Jahr-IF($L62="",Obj_Baujahr,$L62))</f>
        <v>-44</v>
      </c>
      <c r="Q62" s="18" t="n">
        <f aca="false">A_Jahr+MAX(0,$P62)</f>
        <v>2026</v>
      </c>
      <c r="R62" s="15" t="s">
        <v>601</v>
      </c>
      <c r="S62" s="18" t="str">
        <f aca="false">IF($R62="Automatik",IF($Q62&lt;=A_Jahr+A_Horizont,"JA","NEIN"),IF(OR($R62="Sofort",$R62="In Horizont"),"JA","NEIN"))</f>
        <v>JA</v>
      </c>
      <c r="T62" s="16" t="n">
        <v>0</v>
      </c>
      <c r="U62" s="20" t="n">
        <f aca="false">IF(AND($K62="Ja",$S62="JA"),$J62*(1-$T62),0)</f>
        <v>1140</v>
      </c>
      <c r="V62" s="30" t="str">
        <f aca="false">IF(AND($S62="NEIN",OR(AND(Obj_Zielstandard="EH 55 EE",$X62="Ja"),AND(Obj_Zielstandard="EH 40 EE",$Y62="Ja"))),"Pflicht bei Zielstandard, aber nicht aufgenommen","")</f>
        <v/>
      </c>
      <c r="W62" s="15"/>
      <c r="X62" s="26" t="str">
        <f aca="false">INDEX(02_Massnahmenkatalog!$J:$J,MATCH($B62,02_Massnahmenkatalog!$B:$B,0))</f>
        <v>Ja</v>
      </c>
      <c r="Y62" s="26" t="str">
        <f aca="false">INDEX(02_Massnahmenkatalog!$K:$K,MATCH($B62,02_Massnahmenkatalog!$B:$B,0))</f>
        <v>Ja</v>
      </c>
    </row>
    <row r="63" customFormat="false" ht="68.65" hidden="false" customHeight="false" outlineLevel="0" collapsed="false">
      <c r="B63" s="18" t="s">
        <v>279</v>
      </c>
      <c r="C63" s="26" t="str">
        <f aca="false">INDEX(02_Massnahmenkatalog!$C:$C,MATCH($B63,02_Massnahmenkatalog!$B:$B,0))</f>
        <v>Anlagentechnik</v>
      </c>
      <c r="D63" s="27" t="str">
        <f aca="false">INDEX(02_Massnahmenkatalog!$D:$D,MATCH($B63,02_Massnahmenkatalog!$B:$B,0))</f>
        <v>Luft-Wasser-Wärmepumpe Gesamtsystem inkl. Demontage Altanlage</v>
      </c>
      <c r="E63" s="26" t="str">
        <f aca="false">INDEX(02_Massnahmenkatalog!$E:$E,MATCH($B63,02_Massnahmenkatalog!$B:$B,0))</f>
        <v>€ pauschal (skaliert)</v>
      </c>
      <c r="F63" s="18" t="n">
        <f aca="false">Obj_Wohnflaeche/130</f>
        <v>1.06153846153846</v>
      </c>
      <c r="G63" s="15"/>
      <c r="H63" s="18" t="n">
        <f aca="false">IF($G63="",$F63,$G63)</f>
        <v>1.06153846153846</v>
      </c>
      <c r="I63" s="28" t="n">
        <f aca="false">INDEX(02_Massnahmenkatalog!$F:$F,MATCH($B63,02_Massnahmenkatalog!$B:$B,0))</f>
        <v>22500</v>
      </c>
      <c r="J63" s="20" t="n">
        <f aca="false">$H63*$I63</f>
        <v>23884.6153846154</v>
      </c>
      <c r="K63" s="26" t="str">
        <f aca="false">INDEX(02_Massnahmenkatalog!$H:$H,MATCH($B63,02_Massnahmenkatalog!$B:$B,0))</f>
        <v>Ja</v>
      </c>
      <c r="L63" s="15"/>
      <c r="M63" s="15" t="n">
        <v>3</v>
      </c>
      <c r="N63" s="26" t="n">
        <f aca="false">INDEX(02_Massnahmenkatalog!$G:$G,MATCH($B63,02_Massnahmenkatalog!$B:$B,0))</f>
        <v>15</v>
      </c>
      <c r="O63" s="29" t="n">
        <f aca="false">INDEX(04_Nutzungsdauern!$C:$C,MATCH($M63,04_Nutzungsdauern!$B:$B,0))</f>
        <v>0.7</v>
      </c>
      <c r="P63" s="18" t="n">
        <f aca="false">$N63*$O63-(A_Jahr-IF($L63="",Obj_Baujahr,$L63))</f>
        <v>-33.5</v>
      </c>
      <c r="Q63" s="18" t="n">
        <f aca="false">A_Jahr+MAX(0,$P63)</f>
        <v>2026</v>
      </c>
      <c r="R63" s="15" t="s">
        <v>781</v>
      </c>
      <c r="S63" s="18" t="str">
        <f aca="false">IF($R63="Automatik",IF($Q63&lt;=A_Jahr+A_Horizont,"JA","NEIN"),IF(OR($R63="Sofort",$R63="In Horizont"),"JA","NEIN"))</f>
        <v>JA</v>
      </c>
      <c r="T63" s="16" t="n">
        <v>0</v>
      </c>
      <c r="U63" s="20" t="n">
        <f aca="false">IF(AND($K63="Ja",$S63="JA"),$J63*(1-$T63),0)</f>
        <v>23884.6153846154</v>
      </c>
      <c r="V63" s="30" t="str">
        <f aca="false">IF(AND($S63="NEIN",OR(AND(Obj_Zielstandard="EH 55 EE",$X63="Ja"),AND(Obj_Zielstandard="EH 40 EE",$Y63="Ja"))),"Pflicht bei Zielstandard, aber nicht aufgenommen","")</f>
        <v/>
      </c>
      <c r="W63" s="15" t="s">
        <v>782</v>
      </c>
      <c r="X63" s="26" t="str">
        <f aca="false">INDEX(02_Massnahmenkatalog!$J:$J,MATCH($B63,02_Massnahmenkatalog!$B:$B,0))</f>
        <v>Ja</v>
      </c>
      <c r="Y63" s="26" t="str">
        <f aca="false">INDEX(02_Massnahmenkatalog!$K:$K,MATCH($B63,02_Massnahmenkatalog!$B:$B,0))</f>
        <v>Ja</v>
      </c>
    </row>
    <row r="64" customFormat="false" ht="57.45" hidden="false" customHeight="false" outlineLevel="0" collapsed="false">
      <c r="B64" s="18" t="s">
        <v>285</v>
      </c>
      <c r="C64" s="26" t="str">
        <f aca="false">INDEX(02_Massnahmenkatalog!$C:$C,MATCH($B64,02_Massnahmenkatalog!$B:$B,0))</f>
        <v>Anlagentechnik</v>
      </c>
      <c r="D64" s="27" t="str">
        <f aca="false">INDEX(02_Massnahmenkatalog!$D:$D,MATCH($B64,02_Massnahmenkatalog!$B:$B,0))</f>
        <v>Alternativ: Sole-Wasser-WP mit Erdsonde inkl. Bohrung</v>
      </c>
      <c r="E64" s="26" t="str">
        <f aca="false">INDEX(02_Massnahmenkatalog!$E:$E,MATCH($B64,02_Massnahmenkatalog!$B:$B,0))</f>
        <v>€ pauschal (skaliert)</v>
      </c>
      <c r="F64" s="18" t="n">
        <f aca="false">0</f>
        <v>0</v>
      </c>
      <c r="G64" s="15"/>
      <c r="H64" s="18" t="n">
        <f aca="false">IF($G64="",$F64,$G64)</f>
        <v>0</v>
      </c>
      <c r="I64" s="28" t="n">
        <f aca="false">INDEX(02_Massnahmenkatalog!$F:$F,MATCH($B64,02_Massnahmenkatalog!$B:$B,0))</f>
        <v>28500</v>
      </c>
      <c r="J64" s="20" t="n">
        <f aca="false">$H64*$I64</f>
        <v>0</v>
      </c>
      <c r="K64" s="26" t="str">
        <f aca="false">INDEX(02_Massnahmenkatalog!$H:$H,MATCH($B64,02_Massnahmenkatalog!$B:$B,0))</f>
        <v>Ja</v>
      </c>
      <c r="L64" s="15"/>
      <c r="M64" s="15" t="n">
        <v>3</v>
      </c>
      <c r="N64" s="26" t="n">
        <f aca="false">INDEX(02_Massnahmenkatalog!$G:$G,MATCH($B64,02_Massnahmenkatalog!$B:$B,0))</f>
        <v>27</v>
      </c>
      <c r="O64" s="29" t="n">
        <f aca="false">INDEX(04_Nutzungsdauern!$C:$C,MATCH($M64,04_Nutzungsdauern!$B:$B,0))</f>
        <v>0.7</v>
      </c>
      <c r="P64" s="18" t="n">
        <f aca="false">$N64*$O64-(A_Jahr-IF($L64="",Obj_Baujahr,$L64))</f>
        <v>-25.1</v>
      </c>
      <c r="Q64" s="18" t="n">
        <f aca="false">A_Jahr+MAX(0,$P64)</f>
        <v>2026</v>
      </c>
      <c r="R64" s="15" t="s">
        <v>601</v>
      </c>
      <c r="S64" s="18" t="str">
        <f aca="false">IF($R64="Automatik",IF($Q64&lt;=A_Jahr+A_Horizont,"JA","NEIN"),IF(OR($R64="Sofort",$R64="In Horizont"),"JA","NEIN"))</f>
        <v>JA</v>
      </c>
      <c r="T64" s="16" t="n">
        <v>0</v>
      </c>
      <c r="U64" s="20" t="n">
        <f aca="false">IF(AND($K64="Ja",$S64="JA"),$J64*(1-$T64),0)</f>
        <v>0</v>
      </c>
      <c r="V64" s="30" t="str">
        <f aca="false">IF(AND($S64="NEIN",OR(AND(Obj_Zielstandard="EH 55 EE",$X64="Ja"),AND(Obj_Zielstandard="EH 40 EE",$Y64="Ja"))),"Pflicht bei Zielstandard, aber nicht aufgenommen","")</f>
        <v/>
      </c>
      <c r="W64" s="15"/>
      <c r="X64" s="26" t="str">
        <f aca="false">INDEX(02_Massnahmenkatalog!$J:$J,MATCH($B64,02_Massnahmenkatalog!$B:$B,0))</f>
        <v>Nein</v>
      </c>
      <c r="Y64" s="26" t="str">
        <f aca="false">INDEX(02_Massnahmenkatalog!$K:$K,MATCH($B64,02_Massnahmenkatalog!$B:$B,0))</f>
        <v>Nein</v>
      </c>
    </row>
    <row r="65" customFormat="false" ht="68.65" hidden="false" customHeight="false" outlineLevel="0" collapsed="false">
      <c r="B65" s="18" t="s">
        <v>288</v>
      </c>
      <c r="C65" s="26" t="str">
        <f aca="false">INDEX(02_Massnahmenkatalog!$C:$C,MATCH($B65,02_Massnahmenkatalog!$B:$B,0))</f>
        <v>Anlagentechnik</v>
      </c>
      <c r="D65" s="27" t="str">
        <f aca="false">INDEX(02_Massnahmenkatalog!$D:$D,MATCH($B65,02_Massnahmenkatalog!$B:$B,0))</f>
        <v>Fußbodenheizung Nassestrich (Vollsanierung Bodenaufbau)</v>
      </c>
      <c r="E65" s="26" t="str">
        <f aca="false">INDEX(02_Massnahmenkatalog!$E:$E,MATCH($B65,02_Massnahmenkatalog!$B:$B,0))</f>
        <v>€/m²</v>
      </c>
      <c r="F65" s="18" t="n">
        <f aca="false">Obj_Wohnflaeche*A_F_FBH</f>
        <v>124.2</v>
      </c>
      <c r="G65" s="15"/>
      <c r="H65" s="18" t="n">
        <f aca="false">IF($G65="",$F65,$G65)</f>
        <v>124.2</v>
      </c>
      <c r="I65" s="28" t="n">
        <f aca="false">INDEX(02_Massnahmenkatalog!$F:$F,MATCH($B65,02_Massnahmenkatalog!$B:$B,0))</f>
        <v>65</v>
      </c>
      <c r="J65" s="20" t="n">
        <f aca="false">$H65*$I65</f>
        <v>8073</v>
      </c>
      <c r="K65" s="26" t="str">
        <f aca="false">INDEX(02_Massnahmenkatalog!$H:$H,MATCH($B65,02_Massnahmenkatalog!$B:$B,0))</f>
        <v>Ja</v>
      </c>
      <c r="L65" s="15"/>
      <c r="M65" s="15" t="n">
        <v>3</v>
      </c>
      <c r="N65" s="26" t="n">
        <f aca="false">INDEX(02_Massnahmenkatalog!$G:$G,MATCH($B65,02_Massnahmenkatalog!$B:$B,0))</f>
        <v>45</v>
      </c>
      <c r="O65" s="29" t="n">
        <f aca="false">INDEX(04_Nutzungsdauern!$C:$C,MATCH($M65,04_Nutzungsdauern!$B:$B,0))</f>
        <v>0.7</v>
      </c>
      <c r="P65" s="18" t="n">
        <f aca="false">$N65*$O65-(A_Jahr-IF($L65="",Obj_Baujahr,$L65))</f>
        <v>-12.5</v>
      </c>
      <c r="Q65" s="18" t="n">
        <f aca="false">A_Jahr+MAX(0,$P65)</f>
        <v>2026</v>
      </c>
      <c r="R65" s="15" t="s">
        <v>601</v>
      </c>
      <c r="S65" s="18" t="str">
        <f aca="false">IF($R65="Automatik",IF($Q65&lt;=A_Jahr+A_Horizont,"JA","NEIN"),IF(OR($R65="Sofort",$R65="In Horizont"),"JA","NEIN"))</f>
        <v>JA</v>
      </c>
      <c r="T65" s="16" t="n">
        <v>0</v>
      </c>
      <c r="U65" s="20" t="n">
        <f aca="false">IF(AND($K65="Ja",$S65="JA"),$J65*(1-$T65),0)</f>
        <v>8073</v>
      </c>
      <c r="V65" s="30" t="str">
        <f aca="false">IF(AND($S65="NEIN",OR(AND(Obj_Zielstandard="EH 55 EE",$X65="Ja"),AND(Obj_Zielstandard="EH 40 EE",$Y65="Ja"))),"Pflicht bei Zielstandard, aber nicht aufgenommen","")</f>
        <v/>
      </c>
      <c r="W65" s="15"/>
      <c r="X65" s="26" t="str">
        <f aca="false">INDEX(02_Massnahmenkatalog!$J:$J,MATCH($B65,02_Massnahmenkatalog!$B:$B,0))</f>
        <v>Ja</v>
      </c>
      <c r="Y65" s="26" t="str">
        <f aca="false">INDEX(02_Massnahmenkatalog!$K:$K,MATCH($B65,02_Massnahmenkatalog!$B:$B,0))</f>
        <v>Ja</v>
      </c>
    </row>
    <row r="66" customFormat="false" ht="68.65" hidden="false" customHeight="false" outlineLevel="0" collapsed="false">
      <c r="B66" s="18" t="s">
        <v>290</v>
      </c>
      <c r="C66" s="26" t="str">
        <f aca="false">INDEX(02_Massnahmenkatalog!$C:$C,MATCH($B66,02_Massnahmenkatalog!$B:$B,0))</f>
        <v>Anlagentechnik</v>
      </c>
      <c r="D66" s="27" t="str">
        <f aca="false">INDEX(02_Massnahmenkatalog!$D:$D,MATCH($B66,02_Massnahmenkatalog!$B:$B,0))</f>
        <v>Austausch Heizkörper gegen NT-Heizkörper (wenn keine FBH)</v>
      </c>
      <c r="E66" s="26" t="str">
        <f aca="false">INDEX(02_Massnahmenkatalog!$E:$E,MATCH($B66,02_Massnahmenkatalog!$B:$B,0))</f>
        <v>€/Stück</v>
      </c>
      <c r="F66" s="18" t="n">
        <f aca="false">Obj_AnzHeizkoerper</f>
        <v>9</v>
      </c>
      <c r="G66" s="15"/>
      <c r="H66" s="18" t="n">
        <f aca="false">IF($G66="",$F66,$G66)</f>
        <v>9</v>
      </c>
      <c r="I66" s="28" t="n">
        <f aca="false">INDEX(02_Massnahmenkatalog!$F:$F,MATCH($B66,02_Massnahmenkatalog!$B:$B,0))</f>
        <v>830</v>
      </c>
      <c r="J66" s="20" t="n">
        <f aca="false">$H66*$I66</f>
        <v>7470</v>
      </c>
      <c r="K66" s="26" t="str">
        <f aca="false">INDEX(02_Massnahmenkatalog!$H:$H,MATCH($B66,02_Massnahmenkatalog!$B:$B,0))</f>
        <v>Ja</v>
      </c>
      <c r="L66" s="15"/>
      <c r="M66" s="15" t="n">
        <v>3</v>
      </c>
      <c r="N66" s="26" t="n">
        <f aca="false">INDEX(02_Massnahmenkatalog!$G:$G,MATCH($B66,02_Massnahmenkatalog!$B:$B,0))</f>
        <v>35</v>
      </c>
      <c r="O66" s="29" t="n">
        <f aca="false">INDEX(04_Nutzungsdauern!$C:$C,MATCH($M66,04_Nutzungsdauern!$B:$B,0))</f>
        <v>0.7</v>
      </c>
      <c r="P66" s="18" t="n">
        <f aca="false">$N66*$O66-(A_Jahr-IF($L66="",Obj_Baujahr,$L66))</f>
        <v>-19.5</v>
      </c>
      <c r="Q66" s="18" t="n">
        <f aca="false">A_Jahr+MAX(0,$P66)</f>
        <v>2026</v>
      </c>
      <c r="R66" s="15" t="s">
        <v>601</v>
      </c>
      <c r="S66" s="18" t="str">
        <f aca="false">IF($R66="Automatik",IF($Q66&lt;=A_Jahr+A_Horizont,"JA","NEIN"),IF(OR($R66="Sofort",$R66="In Horizont"),"JA","NEIN"))</f>
        <v>JA</v>
      </c>
      <c r="T66" s="16" t="n">
        <v>0</v>
      </c>
      <c r="U66" s="20" t="n">
        <f aca="false">IF(AND($K66="Ja",$S66="JA"),$J66*(1-$T66),0)</f>
        <v>7470</v>
      </c>
      <c r="V66" s="30" t="str">
        <f aca="false">IF(AND($S66="NEIN",OR(AND(Obj_Zielstandard="EH 55 EE",$X66="Ja"),AND(Obj_Zielstandard="EH 40 EE",$Y66="Ja"))),"Pflicht bei Zielstandard, aber nicht aufgenommen","")</f>
        <v/>
      </c>
      <c r="W66" s="15"/>
      <c r="X66" s="26" t="str">
        <f aca="false">INDEX(02_Massnahmenkatalog!$J:$J,MATCH($B66,02_Massnahmenkatalog!$B:$B,0))</f>
        <v>Nein</v>
      </c>
      <c r="Y66" s="26" t="str">
        <f aca="false">INDEX(02_Massnahmenkatalog!$K:$K,MATCH($B66,02_Massnahmenkatalog!$B:$B,0))</f>
        <v>Nein</v>
      </c>
    </row>
    <row r="67" customFormat="false" ht="46.25" hidden="false" customHeight="false" outlineLevel="0" collapsed="false">
      <c r="B67" s="18" t="s">
        <v>293</v>
      </c>
      <c r="C67" s="26" t="str">
        <f aca="false">INDEX(02_Massnahmenkatalog!$C:$C,MATCH($B67,02_Massnahmenkatalog!$B:$B,0))</f>
        <v>Anlagentechnik</v>
      </c>
      <c r="D67" s="27" t="str">
        <f aca="false">INDEX(02_Massnahmenkatalog!$D:$D,MATCH($B67,02_Massnahmenkatalog!$B:$B,0))</f>
        <v>Hydraulischer Abgleich + Heizlastberechnung</v>
      </c>
      <c r="E67" s="26" t="str">
        <f aca="false">INDEX(02_Massnahmenkatalog!$E:$E,MATCH($B67,02_Massnahmenkatalog!$B:$B,0))</f>
        <v>€ pauschal</v>
      </c>
      <c r="F67" s="18" t="n">
        <f aca="false">1</f>
        <v>1</v>
      </c>
      <c r="G67" s="15"/>
      <c r="H67" s="18" t="n">
        <f aca="false">IF($G67="",$F67,$G67)</f>
        <v>1</v>
      </c>
      <c r="I67" s="28" t="n">
        <f aca="false">INDEX(02_Massnahmenkatalog!$F:$F,MATCH($B67,02_Massnahmenkatalog!$B:$B,0))</f>
        <v>1125</v>
      </c>
      <c r="J67" s="20" t="n">
        <f aca="false">$H67*$I67</f>
        <v>1125</v>
      </c>
      <c r="K67" s="26" t="str">
        <f aca="false">INDEX(02_Massnahmenkatalog!$H:$H,MATCH($B67,02_Massnahmenkatalog!$B:$B,0))</f>
        <v>Ja</v>
      </c>
      <c r="L67" s="15"/>
      <c r="M67" s="15" t="n">
        <v>3</v>
      </c>
      <c r="N67" s="26" t="n">
        <f aca="false">INDEX(02_Massnahmenkatalog!$G:$G,MATCH($B67,02_Massnahmenkatalog!$B:$B,0))</f>
        <v>0</v>
      </c>
      <c r="O67" s="29" t="n">
        <f aca="false">INDEX(04_Nutzungsdauern!$C:$C,MATCH($M67,04_Nutzungsdauern!$B:$B,0))</f>
        <v>0.7</v>
      </c>
      <c r="P67" s="18" t="n">
        <f aca="false">$N67*$O67-(A_Jahr-IF($L67="",Obj_Baujahr,$L67))</f>
        <v>-44</v>
      </c>
      <c r="Q67" s="18" t="n">
        <f aca="false">A_Jahr+MAX(0,$P67)</f>
        <v>2026</v>
      </c>
      <c r="R67" s="15" t="s">
        <v>601</v>
      </c>
      <c r="S67" s="18" t="str">
        <f aca="false">IF($R67="Automatik",IF($Q67&lt;=A_Jahr+A_Horizont,"JA","NEIN"),IF(OR($R67="Sofort",$R67="In Horizont"),"JA","NEIN"))</f>
        <v>JA</v>
      </c>
      <c r="T67" s="16" t="n">
        <v>0</v>
      </c>
      <c r="U67" s="20" t="n">
        <f aca="false">IF(AND($K67="Ja",$S67="JA"),$J67*(1-$T67),0)</f>
        <v>1125</v>
      </c>
      <c r="V67" s="30" t="str">
        <f aca="false">IF(AND($S67="NEIN",OR(AND(Obj_Zielstandard="EH 55 EE",$X67="Ja"),AND(Obj_Zielstandard="EH 40 EE",$Y67="Ja"))),"Pflicht bei Zielstandard, aber nicht aufgenommen","")</f>
        <v/>
      </c>
      <c r="W67" s="15"/>
      <c r="X67" s="26" t="str">
        <f aca="false">INDEX(02_Massnahmenkatalog!$J:$J,MATCH($B67,02_Massnahmenkatalog!$B:$B,0))</f>
        <v>Ja</v>
      </c>
      <c r="Y67" s="26" t="str">
        <f aca="false">INDEX(02_Massnahmenkatalog!$K:$K,MATCH($B67,02_Massnahmenkatalog!$B:$B,0))</f>
        <v>Ja</v>
      </c>
    </row>
    <row r="68" customFormat="false" ht="57.45" hidden="false" customHeight="false" outlineLevel="0" collapsed="false">
      <c r="B68" s="18" t="s">
        <v>297</v>
      </c>
      <c r="C68" s="26" t="str">
        <f aca="false">INDEX(02_Massnahmenkatalog!$C:$C,MATCH($B68,02_Massnahmenkatalog!$B:$B,0))</f>
        <v>Anlagentechnik</v>
      </c>
      <c r="D68" s="27" t="str">
        <f aca="false">INDEX(02_Massnahmenkatalog!$D:$D,MATCH($B68,02_Massnahmenkatalog!$B:$B,0))</f>
        <v>Zentrale Lüftungsanlage mit WRG inkl. Kanalnetz</v>
      </c>
      <c r="E68" s="26" t="str">
        <f aca="false">INDEX(02_Massnahmenkatalog!$E:$E,MATCH($B68,02_Massnahmenkatalog!$B:$B,0))</f>
        <v>€/m² WF</v>
      </c>
      <c r="F68" s="18" t="n">
        <f aca="false">Obj_Wohnflaeche</f>
        <v>138</v>
      </c>
      <c r="G68" s="15"/>
      <c r="H68" s="18" t="n">
        <f aca="false">IF($G68="",$F68,$G68)</f>
        <v>138</v>
      </c>
      <c r="I68" s="28" t="n">
        <f aca="false">INDEX(02_Massnahmenkatalog!$F:$F,MATCH($B68,02_Massnahmenkatalog!$B:$B,0))</f>
        <v>111</v>
      </c>
      <c r="J68" s="20" t="n">
        <f aca="false">$H68*$I68</f>
        <v>15318</v>
      </c>
      <c r="K68" s="26" t="str">
        <f aca="false">INDEX(02_Massnahmenkatalog!$H:$H,MATCH($B68,02_Massnahmenkatalog!$B:$B,0))</f>
        <v>Ja</v>
      </c>
      <c r="L68" s="15"/>
      <c r="M68" s="15" t="n">
        <v>3</v>
      </c>
      <c r="N68" s="26" t="n">
        <f aca="false">INDEX(02_Massnahmenkatalog!$G:$G,MATCH($B68,02_Massnahmenkatalog!$B:$B,0))</f>
        <v>25</v>
      </c>
      <c r="O68" s="29" t="n">
        <f aca="false">INDEX(04_Nutzungsdauern!$C:$C,MATCH($M68,04_Nutzungsdauern!$B:$B,0))</f>
        <v>0.7</v>
      </c>
      <c r="P68" s="18" t="n">
        <f aca="false">$N68*$O68-(A_Jahr-IF($L68="",Obj_Baujahr,$L68))</f>
        <v>-26.5</v>
      </c>
      <c r="Q68" s="18" t="n">
        <f aca="false">A_Jahr+MAX(0,$P68)</f>
        <v>2026</v>
      </c>
      <c r="R68" s="15" t="s">
        <v>601</v>
      </c>
      <c r="S68" s="18" t="str">
        <f aca="false">IF($R68="Automatik",IF($Q68&lt;=A_Jahr+A_Horizont,"JA","NEIN"),IF(OR($R68="Sofort",$R68="In Horizont"),"JA","NEIN"))</f>
        <v>JA</v>
      </c>
      <c r="T68" s="16" t="n">
        <v>0</v>
      </c>
      <c r="U68" s="20" t="n">
        <f aca="false">IF(AND($K68="Ja",$S68="JA"),$J68*(1-$T68),0)</f>
        <v>15318</v>
      </c>
      <c r="V68" s="30" t="str">
        <f aca="false">IF(AND($S68="NEIN",OR(AND(Obj_Zielstandard="EH 55 EE",$X68="Ja"),AND(Obj_Zielstandard="EH 40 EE",$Y68="Ja"))),"Pflicht bei Zielstandard, aber nicht aufgenommen","")</f>
        <v/>
      </c>
      <c r="W68" s="15"/>
      <c r="X68" s="26" t="str">
        <f aca="false">INDEX(02_Massnahmenkatalog!$J:$J,MATCH($B68,02_Massnahmenkatalog!$B:$B,0))</f>
        <v>Ja</v>
      </c>
      <c r="Y68" s="26" t="str">
        <f aca="false">INDEX(02_Massnahmenkatalog!$K:$K,MATCH($B68,02_Massnahmenkatalog!$B:$B,0))</f>
        <v>Ja</v>
      </c>
    </row>
    <row r="69" customFormat="false" ht="35.05" hidden="false" customHeight="false" outlineLevel="0" collapsed="false">
      <c r="B69" s="18" t="s">
        <v>300</v>
      </c>
      <c r="C69" s="26" t="str">
        <f aca="false">INDEX(02_Massnahmenkatalog!$C:$C,MATCH($B69,02_Massnahmenkatalog!$B:$B,0))</f>
        <v>Anlagentechnik</v>
      </c>
      <c r="D69" s="27" t="str">
        <f aca="false">INDEX(02_Massnahmenkatalog!$D:$D,MATCH($B69,02_Massnahmenkatalog!$B:$B,0))</f>
        <v>Trinkwasserinstallation komplett neu</v>
      </c>
      <c r="E69" s="26" t="str">
        <f aca="false">INDEX(02_Massnahmenkatalog!$E:$E,MATCH($B69,02_Massnahmenkatalog!$B:$B,0))</f>
        <v>€ pauschal</v>
      </c>
      <c r="F69" s="18" t="n">
        <f aca="false">1</f>
        <v>1</v>
      </c>
      <c r="G69" s="15"/>
      <c r="H69" s="18" t="n">
        <f aca="false">IF($G69="",$F69,$G69)</f>
        <v>1</v>
      </c>
      <c r="I69" s="28" t="n">
        <f aca="false">INDEX(02_Massnahmenkatalog!$F:$F,MATCH($B69,02_Massnahmenkatalog!$B:$B,0))</f>
        <v>3500</v>
      </c>
      <c r="J69" s="20" t="n">
        <f aca="false">$H69*$I69</f>
        <v>3500</v>
      </c>
      <c r="K69" s="26" t="str">
        <f aca="false">INDEX(02_Massnahmenkatalog!$H:$H,MATCH($B69,02_Massnahmenkatalog!$B:$B,0))</f>
        <v>Nein</v>
      </c>
      <c r="L69" s="15"/>
      <c r="M69" s="15" t="n">
        <v>3</v>
      </c>
      <c r="N69" s="26" t="n">
        <f aca="false">INDEX(02_Massnahmenkatalog!$G:$G,MATCH($B69,02_Massnahmenkatalog!$B:$B,0))</f>
        <v>39</v>
      </c>
      <c r="O69" s="29" t="n">
        <f aca="false">INDEX(04_Nutzungsdauern!$C:$C,MATCH($M69,04_Nutzungsdauern!$B:$B,0))</f>
        <v>0.7</v>
      </c>
      <c r="P69" s="18" t="n">
        <f aca="false">$N69*$O69-(A_Jahr-IF($L69="",Obj_Baujahr,$L69))</f>
        <v>-16.7</v>
      </c>
      <c r="Q69" s="18" t="n">
        <f aca="false">A_Jahr+MAX(0,$P69)</f>
        <v>2026</v>
      </c>
      <c r="R69" s="15" t="s">
        <v>601</v>
      </c>
      <c r="S69" s="18" t="str">
        <f aca="false">IF($R69="Automatik",IF($Q69&lt;=A_Jahr+A_Horizont,"JA","NEIN"),IF(OR($R69="Sofort",$R69="In Horizont"),"JA","NEIN"))</f>
        <v>JA</v>
      </c>
      <c r="T69" s="16" t="n">
        <v>0</v>
      </c>
      <c r="U69" s="20" t="n">
        <f aca="false">IF(AND($K69="Ja",$S69="JA"),$J69*(1-$T69),0)</f>
        <v>0</v>
      </c>
      <c r="V69" s="30" t="str">
        <f aca="false">IF(AND($S69="NEIN",OR(AND(Obj_Zielstandard="EH 55 EE",$X69="Ja"),AND(Obj_Zielstandard="EH 40 EE",$Y69="Ja"))),"Pflicht bei Zielstandard, aber nicht aufgenommen","")</f>
        <v/>
      </c>
      <c r="W69" s="15"/>
      <c r="X69" s="26" t="str">
        <f aca="false">INDEX(02_Massnahmenkatalog!$J:$J,MATCH($B69,02_Massnahmenkatalog!$B:$B,0))</f>
        <v>Nein</v>
      </c>
      <c r="Y69" s="26" t="str">
        <f aca="false">INDEX(02_Massnahmenkatalog!$K:$K,MATCH($B69,02_Massnahmenkatalog!$B:$B,0))</f>
        <v>Nein</v>
      </c>
    </row>
    <row r="70" customFormat="false" ht="35.05" hidden="false" customHeight="false" outlineLevel="0" collapsed="false">
      <c r="B70" s="18" t="s">
        <v>303</v>
      </c>
      <c r="C70" s="26" t="str">
        <f aca="false">INDEX(02_Massnahmenkatalog!$C:$C,MATCH($B70,02_Massnahmenkatalog!$B:$B,0))</f>
        <v>Anlagentechnik</v>
      </c>
      <c r="D70" s="27" t="str">
        <f aca="false">INDEX(02_Massnahmenkatalog!$D:$D,MATCH($B70,02_Massnahmenkatalog!$B:$B,0))</f>
        <v>Abwasserleitungen im Haus erneuern</v>
      </c>
      <c r="E70" s="26" t="str">
        <f aca="false">INDEX(02_Massnahmenkatalog!$E:$E,MATCH($B70,02_Massnahmenkatalog!$B:$B,0))</f>
        <v>€ pauschal</v>
      </c>
      <c r="F70" s="18" t="n">
        <f aca="false">1</f>
        <v>1</v>
      </c>
      <c r="G70" s="15"/>
      <c r="H70" s="18" t="n">
        <f aca="false">IF($G70="",$F70,$G70)</f>
        <v>1</v>
      </c>
      <c r="I70" s="28" t="n">
        <f aca="false">INDEX(02_Massnahmenkatalog!$F:$F,MATCH($B70,02_Massnahmenkatalog!$B:$B,0))</f>
        <v>2700</v>
      </c>
      <c r="J70" s="20" t="n">
        <f aca="false">$H70*$I70</f>
        <v>2700</v>
      </c>
      <c r="K70" s="26" t="str">
        <f aca="false">INDEX(02_Massnahmenkatalog!$H:$H,MATCH($B70,02_Massnahmenkatalog!$B:$B,0))</f>
        <v>Nein</v>
      </c>
      <c r="L70" s="15"/>
      <c r="M70" s="15" t="n">
        <v>3</v>
      </c>
      <c r="N70" s="26" t="n">
        <f aca="false">INDEX(02_Massnahmenkatalog!$G:$G,MATCH($B70,02_Massnahmenkatalog!$B:$B,0))</f>
        <v>40</v>
      </c>
      <c r="O70" s="29" t="n">
        <f aca="false">INDEX(04_Nutzungsdauern!$C:$C,MATCH($M70,04_Nutzungsdauern!$B:$B,0))</f>
        <v>0.7</v>
      </c>
      <c r="P70" s="18" t="n">
        <f aca="false">$N70*$O70-(A_Jahr-IF($L70="",Obj_Baujahr,$L70))</f>
        <v>-16</v>
      </c>
      <c r="Q70" s="18" t="n">
        <f aca="false">A_Jahr+MAX(0,$P70)</f>
        <v>2026</v>
      </c>
      <c r="R70" s="15" t="s">
        <v>601</v>
      </c>
      <c r="S70" s="18" t="str">
        <f aca="false">IF($R70="Automatik",IF($Q70&lt;=A_Jahr+A_Horizont,"JA","NEIN"),IF(OR($R70="Sofort",$R70="In Horizont"),"JA","NEIN"))</f>
        <v>JA</v>
      </c>
      <c r="T70" s="16" t="n">
        <v>0</v>
      </c>
      <c r="U70" s="20" t="n">
        <f aca="false">IF(AND($K70="Ja",$S70="JA"),$J70*(1-$T70),0)</f>
        <v>0</v>
      </c>
      <c r="V70" s="30" t="str">
        <f aca="false">IF(AND($S70="NEIN",OR(AND(Obj_Zielstandard="EH 55 EE",$X70="Ja"),AND(Obj_Zielstandard="EH 40 EE",$Y70="Ja"))),"Pflicht bei Zielstandard, aber nicht aufgenommen","")</f>
        <v/>
      </c>
      <c r="W70" s="15"/>
      <c r="X70" s="26" t="str">
        <f aca="false">INDEX(02_Massnahmenkatalog!$J:$J,MATCH($B70,02_Massnahmenkatalog!$B:$B,0))</f>
        <v>Nein</v>
      </c>
      <c r="Y70" s="26" t="str">
        <f aca="false">INDEX(02_Massnahmenkatalog!$K:$K,MATCH($B70,02_Massnahmenkatalog!$B:$B,0))</f>
        <v>Nein</v>
      </c>
    </row>
    <row r="71" customFormat="false" ht="46.25" hidden="false" customHeight="false" outlineLevel="0" collapsed="false">
      <c r="B71" s="18" t="s">
        <v>306</v>
      </c>
      <c r="C71" s="26" t="str">
        <f aca="false">INDEX(02_Massnahmenkatalog!$C:$C,MATCH($B71,02_Massnahmenkatalog!$B:$B,0))</f>
        <v>Elektro/Innenausbau</v>
      </c>
      <c r="D71" s="27" t="str">
        <f aca="false">INDEX(02_Massnahmenkatalog!$D:$D,MATCH($B71,02_Massnahmenkatalog!$B:$B,0))</f>
        <v>Elektroinstallation komplett neu inkl. Zählerschrank</v>
      </c>
      <c r="E71" s="26" t="str">
        <f aca="false">INDEX(02_Massnahmenkatalog!$E:$E,MATCH($B71,02_Massnahmenkatalog!$B:$B,0))</f>
        <v>€/m² WF</v>
      </c>
      <c r="F71" s="18" t="n">
        <f aca="false">Obj_Wohnflaeche</f>
        <v>138</v>
      </c>
      <c r="G71" s="15"/>
      <c r="H71" s="18" t="n">
        <f aca="false">IF($G71="",$F71,$G71)</f>
        <v>138</v>
      </c>
      <c r="I71" s="28" t="n">
        <f aca="false">INDEX(02_Massnahmenkatalog!$F:$F,MATCH($B71,02_Massnahmenkatalog!$B:$B,0))</f>
        <v>105</v>
      </c>
      <c r="J71" s="20" t="n">
        <f aca="false">$H71*$I71</f>
        <v>14490</v>
      </c>
      <c r="K71" s="26" t="str">
        <f aca="false">INDEX(02_Massnahmenkatalog!$H:$H,MATCH($B71,02_Massnahmenkatalog!$B:$B,0))</f>
        <v>Nein</v>
      </c>
      <c r="L71" s="15"/>
      <c r="M71" s="15" t="n">
        <v>3</v>
      </c>
      <c r="N71" s="26" t="n">
        <f aca="false">INDEX(02_Massnahmenkatalog!$G:$G,MATCH($B71,02_Massnahmenkatalog!$B:$B,0))</f>
        <v>40</v>
      </c>
      <c r="O71" s="29" t="n">
        <f aca="false">INDEX(04_Nutzungsdauern!$C:$C,MATCH($M71,04_Nutzungsdauern!$B:$B,0))</f>
        <v>0.7</v>
      </c>
      <c r="P71" s="18" t="n">
        <f aca="false">$N71*$O71-(A_Jahr-IF($L71="",Obj_Baujahr,$L71))</f>
        <v>-16</v>
      </c>
      <c r="Q71" s="18" t="n">
        <f aca="false">A_Jahr+MAX(0,$P71)</f>
        <v>2026</v>
      </c>
      <c r="R71" s="15" t="s">
        <v>601</v>
      </c>
      <c r="S71" s="18" t="str">
        <f aca="false">IF($R71="Automatik",IF($Q71&lt;=A_Jahr+A_Horizont,"JA","NEIN"),IF(OR($R71="Sofort",$R71="In Horizont"),"JA","NEIN"))</f>
        <v>JA</v>
      </c>
      <c r="T71" s="16" t="n">
        <v>0</v>
      </c>
      <c r="U71" s="20" t="n">
        <f aca="false">IF(AND($K71="Ja",$S71="JA"),$J71*(1-$T71),0)</f>
        <v>0</v>
      </c>
      <c r="V71" s="30" t="str">
        <f aca="false">IF(AND($S71="NEIN",OR(AND(Obj_Zielstandard="EH 55 EE",$X71="Ja"),AND(Obj_Zielstandard="EH 40 EE",$Y71="Ja"))),"Pflicht bei Zielstandard, aber nicht aufgenommen","")</f>
        <v/>
      </c>
      <c r="W71" s="15"/>
      <c r="X71" s="26" t="str">
        <f aca="false">INDEX(02_Massnahmenkatalog!$J:$J,MATCH($B71,02_Massnahmenkatalog!$B:$B,0))</f>
        <v>Nein</v>
      </c>
      <c r="Y71" s="26" t="str">
        <f aca="false">INDEX(02_Massnahmenkatalog!$K:$K,MATCH($B71,02_Massnahmenkatalog!$B:$B,0))</f>
        <v>Nein</v>
      </c>
    </row>
    <row r="72" customFormat="false" ht="46.25" hidden="false" customHeight="false" outlineLevel="0" collapsed="false">
      <c r="B72" s="18" t="s">
        <v>309</v>
      </c>
      <c r="C72" s="26" t="str">
        <f aca="false">INDEX(02_Massnahmenkatalog!$C:$C,MATCH($B72,02_Massnahmenkatalog!$B:$B,0))</f>
        <v>Elektro/Innenausbau</v>
      </c>
      <c r="D72" s="27" t="str">
        <f aca="false">INDEX(02_Massnahmenkatalog!$D:$D,MATCH($B72,02_Massnahmenkatalog!$B:$B,0))</f>
        <v>Nur Zählerschrank/Unterverteilung erneuern</v>
      </c>
      <c r="E72" s="26" t="str">
        <f aca="false">INDEX(02_Massnahmenkatalog!$E:$E,MATCH($B72,02_Massnahmenkatalog!$B:$B,0))</f>
        <v>€ pauschal</v>
      </c>
      <c r="F72" s="18" t="n">
        <f aca="false">1</f>
        <v>1</v>
      </c>
      <c r="G72" s="15"/>
      <c r="H72" s="18" t="n">
        <f aca="false">IF($G72="",$F72,$G72)</f>
        <v>1</v>
      </c>
      <c r="I72" s="28" t="n">
        <f aca="false">INDEX(02_Massnahmenkatalog!$F:$F,MATCH($B72,02_Massnahmenkatalog!$B:$B,0))</f>
        <v>900</v>
      </c>
      <c r="J72" s="20" t="n">
        <f aca="false">$H72*$I72</f>
        <v>900</v>
      </c>
      <c r="K72" s="26" t="str">
        <f aca="false">INDEX(02_Massnahmenkatalog!$H:$H,MATCH($B72,02_Massnahmenkatalog!$B:$B,0))</f>
        <v>Nein</v>
      </c>
      <c r="L72" s="15"/>
      <c r="M72" s="15" t="n">
        <v>3</v>
      </c>
      <c r="N72" s="26" t="n">
        <f aca="false">INDEX(02_Massnahmenkatalog!$G:$G,MATCH($B72,02_Massnahmenkatalog!$B:$B,0))</f>
        <v>40</v>
      </c>
      <c r="O72" s="29" t="n">
        <f aca="false">INDEX(04_Nutzungsdauern!$C:$C,MATCH($M72,04_Nutzungsdauern!$B:$B,0))</f>
        <v>0.7</v>
      </c>
      <c r="P72" s="18" t="n">
        <f aca="false">$N72*$O72-(A_Jahr-IF($L72="",Obj_Baujahr,$L72))</f>
        <v>-16</v>
      </c>
      <c r="Q72" s="18" t="n">
        <f aca="false">A_Jahr+MAX(0,$P72)</f>
        <v>2026</v>
      </c>
      <c r="R72" s="15" t="s">
        <v>601</v>
      </c>
      <c r="S72" s="18" t="str">
        <f aca="false">IF($R72="Automatik",IF($Q72&lt;=A_Jahr+A_Horizont,"JA","NEIN"),IF(OR($R72="Sofort",$R72="In Horizont"),"JA","NEIN"))</f>
        <v>JA</v>
      </c>
      <c r="T72" s="16" t="n">
        <v>0</v>
      </c>
      <c r="U72" s="20" t="n">
        <f aca="false">IF(AND($K72="Ja",$S72="JA"),$J72*(1-$T72),0)</f>
        <v>0</v>
      </c>
      <c r="V72" s="30" t="str">
        <f aca="false">IF(AND($S72="NEIN",OR(AND(Obj_Zielstandard="EH 55 EE",$X72="Ja"),AND(Obj_Zielstandard="EH 40 EE",$Y72="Ja"))),"Pflicht bei Zielstandard, aber nicht aufgenommen","")</f>
        <v/>
      </c>
      <c r="W72" s="15"/>
      <c r="X72" s="26" t="str">
        <f aca="false">INDEX(02_Massnahmenkatalog!$J:$J,MATCH($B72,02_Massnahmenkatalog!$B:$B,0))</f>
        <v>Nein</v>
      </c>
      <c r="Y72" s="26" t="str">
        <f aca="false">INDEX(02_Massnahmenkatalog!$K:$K,MATCH($B72,02_Massnahmenkatalog!$B:$B,0))</f>
        <v>Nein</v>
      </c>
    </row>
    <row r="73" customFormat="false" ht="35.05" hidden="false" customHeight="false" outlineLevel="0" collapsed="false">
      <c r="B73" s="18" t="s">
        <v>312</v>
      </c>
      <c r="C73" s="26" t="str">
        <f aca="false">INDEX(02_Massnahmenkatalog!$C:$C,MATCH($B73,02_Massnahmenkatalog!$B:$B,0))</f>
        <v>Elektro/Innenausbau</v>
      </c>
      <c r="D73" s="27" t="str">
        <f aca="false">INDEX(02_Massnahmenkatalog!$D:$D,MATCH($B73,02_Massnahmenkatalog!$B:$B,0))</f>
        <v>Badsanierung komplett, Standard</v>
      </c>
      <c r="E73" s="26" t="str">
        <f aca="false">INDEX(02_Massnahmenkatalog!$E:$E,MATCH($B73,02_Massnahmenkatalog!$B:$B,0))</f>
        <v>€/Bad</v>
      </c>
      <c r="F73" s="18" t="n">
        <f aca="false">Obj_AnzBaeder</f>
        <v>2</v>
      </c>
      <c r="G73" s="15"/>
      <c r="H73" s="18" t="n">
        <f aca="false">IF($G73="",$F73,$G73)</f>
        <v>2</v>
      </c>
      <c r="I73" s="28" t="n">
        <f aca="false">INDEX(02_Massnahmenkatalog!$F:$F,MATCH($B73,02_Massnahmenkatalog!$B:$B,0))</f>
        <v>15000</v>
      </c>
      <c r="J73" s="20" t="n">
        <f aca="false">$H73*$I73</f>
        <v>30000</v>
      </c>
      <c r="K73" s="26" t="str">
        <f aca="false">INDEX(02_Massnahmenkatalog!$H:$H,MATCH($B73,02_Massnahmenkatalog!$B:$B,0))</f>
        <v>Nein</v>
      </c>
      <c r="L73" s="15"/>
      <c r="M73" s="15" t="n">
        <v>3</v>
      </c>
      <c r="N73" s="26" t="n">
        <f aca="false">INDEX(02_Massnahmenkatalog!$G:$G,MATCH($B73,02_Massnahmenkatalog!$B:$B,0))</f>
        <v>32</v>
      </c>
      <c r="O73" s="29" t="n">
        <f aca="false">INDEX(04_Nutzungsdauern!$C:$C,MATCH($M73,04_Nutzungsdauern!$B:$B,0))</f>
        <v>0.7</v>
      </c>
      <c r="P73" s="18" t="n">
        <f aca="false">$N73*$O73-(A_Jahr-IF($L73="",Obj_Baujahr,$L73))</f>
        <v>-21.6</v>
      </c>
      <c r="Q73" s="18" t="n">
        <f aca="false">A_Jahr+MAX(0,$P73)</f>
        <v>2026</v>
      </c>
      <c r="R73" s="15" t="s">
        <v>601</v>
      </c>
      <c r="S73" s="18" t="str">
        <f aca="false">IF($R73="Automatik",IF($Q73&lt;=A_Jahr+A_Horizont,"JA","NEIN"),IF(OR($R73="Sofort",$R73="In Horizont"),"JA","NEIN"))</f>
        <v>JA</v>
      </c>
      <c r="T73" s="16" t="n">
        <v>0</v>
      </c>
      <c r="U73" s="20" t="n">
        <f aca="false">IF(AND($K73="Ja",$S73="JA"),$J73*(1-$T73),0)</f>
        <v>0</v>
      </c>
      <c r="V73" s="30" t="str">
        <f aca="false">IF(AND($S73="NEIN",OR(AND(Obj_Zielstandard="EH 55 EE",$X73="Ja"),AND(Obj_Zielstandard="EH 40 EE",$Y73="Ja"))),"Pflicht bei Zielstandard, aber nicht aufgenommen","")</f>
        <v/>
      </c>
      <c r="W73" s="15"/>
      <c r="X73" s="26" t="str">
        <f aca="false">INDEX(02_Massnahmenkatalog!$J:$J,MATCH($B73,02_Massnahmenkatalog!$B:$B,0))</f>
        <v>Nein</v>
      </c>
      <c r="Y73" s="26" t="str">
        <f aca="false">INDEX(02_Massnahmenkatalog!$K:$K,MATCH($B73,02_Massnahmenkatalog!$B:$B,0))</f>
        <v>Nein</v>
      </c>
    </row>
    <row r="74" customFormat="false" ht="15" hidden="false" customHeight="false" outlineLevel="0" collapsed="false">
      <c r="B74" s="18" t="s">
        <v>316</v>
      </c>
      <c r="C74" s="26" t="str">
        <f aca="false">INDEX(02_Massnahmenkatalog!$C:$C,MATCH($B74,02_Massnahmenkatalog!$B:$B,0))</f>
        <v>Elektro/Innenausbau</v>
      </c>
      <c r="D74" s="27" t="str">
        <f aca="false">INDEX(02_Massnahmenkatalog!$D:$D,MATCH($B74,02_Massnahmenkatalog!$B:$B,0))</f>
        <v>Gäste-WC</v>
      </c>
      <c r="E74" s="26" t="str">
        <f aca="false">INDEX(02_Massnahmenkatalog!$E:$E,MATCH($B74,02_Massnahmenkatalog!$B:$B,0))</f>
        <v>€ pauschal</v>
      </c>
      <c r="F74" s="18" t="n">
        <f aca="false">1</f>
        <v>1</v>
      </c>
      <c r="G74" s="15"/>
      <c r="H74" s="18" t="n">
        <f aca="false">IF($G74="",$F74,$G74)</f>
        <v>1</v>
      </c>
      <c r="I74" s="28" t="n">
        <f aca="false">INDEX(02_Massnahmenkatalog!$F:$F,MATCH($B74,02_Massnahmenkatalog!$B:$B,0))</f>
        <v>6000</v>
      </c>
      <c r="J74" s="20" t="n">
        <f aca="false">$H74*$I74</f>
        <v>6000</v>
      </c>
      <c r="K74" s="26" t="str">
        <f aca="false">INDEX(02_Massnahmenkatalog!$H:$H,MATCH($B74,02_Massnahmenkatalog!$B:$B,0))</f>
        <v>Nein</v>
      </c>
      <c r="L74" s="15"/>
      <c r="M74" s="15" t="n">
        <v>3</v>
      </c>
      <c r="N74" s="26" t="n">
        <f aca="false">INDEX(02_Massnahmenkatalog!$G:$G,MATCH($B74,02_Massnahmenkatalog!$B:$B,0))</f>
        <v>32</v>
      </c>
      <c r="O74" s="29" t="n">
        <f aca="false">INDEX(04_Nutzungsdauern!$C:$C,MATCH($M74,04_Nutzungsdauern!$B:$B,0))</f>
        <v>0.7</v>
      </c>
      <c r="P74" s="18" t="n">
        <f aca="false">$N74*$O74-(A_Jahr-IF($L74="",Obj_Baujahr,$L74))</f>
        <v>-21.6</v>
      </c>
      <c r="Q74" s="18" t="n">
        <f aca="false">A_Jahr+MAX(0,$P74)</f>
        <v>2026</v>
      </c>
      <c r="R74" s="15" t="s">
        <v>601</v>
      </c>
      <c r="S74" s="18" t="str">
        <f aca="false">IF($R74="Automatik",IF($Q74&lt;=A_Jahr+A_Horizont,"JA","NEIN"),IF(OR($R74="Sofort",$R74="In Horizont"),"JA","NEIN"))</f>
        <v>JA</v>
      </c>
      <c r="T74" s="16" t="n">
        <v>0</v>
      </c>
      <c r="U74" s="20" t="n">
        <f aca="false">IF(AND($K74="Ja",$S74="JA"),$J74*(1-$T74),0)</f>
        <v>0</v>
      </c>
      <c r="V74" s="30" t="str">
        <f aca="false">IF(AND($S74="NEIN",OR(AND(Obj_Zielstandard="EH 55 EE",$X74="Ja"),AND(Obj_Zielstandard="EH 40 EE",$Y74="Ja"))),"Pflicht bei Zielstandard, aber nicht aufgenommen","")</f>
        <v/>
      </c>
      <c r="W74" s="15"/>
      <c r="X74" s="26" t="str">
        <f aca="false">INDEX(02_Massnahmenkatalog!$J:$J,MATCH($B74,02_Massnahmenkatalog!$B:$B,0))</f>
        <v>Nein</v>
      </c>
      <c r="Y74" s="26" t="str">
        <f aca="false">INDEX(02_Massnahmenkatalog!$K:$K,MATCH($B74,02_Massnahmenkatalog!$B:$B,0))</f>
        <v>Nein</v>
      </c>
    </row>
    <row r="75" customFormat="false" ht="23.85" hidden="false" customHeight="false" outlineLevel="0" collapsed="false">
      <c r="B75" s="18" t="s">
        <v>319</v>
      </c>
      <c r="C75" s="26" t="str">
        <f aca="false">INDEX(02_Massnahmenkatalog!$C:$C,MATCH($B75,02_Massnahmenkatalog!$B:$B,0))</f>
        <v>Elektro/Innenausbau</v>
      </c>
      <c r="D75" s="27" t="str">
        <f aca="false">INDEX(02_Massnahmenkatalog!$D:$D,MATCH($B75,02_Massnahmenkatalog!$B:$B,0))</f>
        <v>Innenputz/Malerarbeiten</v>
      </c>
      <c r="E75" s="26" t="str">
        <f aca="false">INDEX(02_Massnahmenkatalog!$E:$E,MATCH($B75,02_Massnahmenkatalog!$B:$B,0))</f>
        <v>€/m² Wandfläche</v>
      </c>
      <c r="F75" s="18" t="n">
        <f aca="false">Obj_Fassadenflaeche*2</f>
        <v>395.063030920384</v>
      </c>
      <c r="G75" s="15"/>
      <c r="H75" s="18" t="n">
        <f aca="false">IF($G75="",$F75,$G75)</f>
        <v>395.063030920384</v>
      </c>
      <c r="I75" s="28" t="n">
        <f aca="false">INDEX(02_Massnahmenkatalog!$F:$F,MATCH($B75,02_Massnahmenkatalog!$B:$B,0))</f>
        <v>45</v>
      </c>
      <c r="J75" s="20" t="n">
        <f aca="false">$H75*$I75</f>
        <v>17777.8363914173</v>
      </c>
      <c r="K75" s="26" t="str">
        <f aca="false">INDEX(02_Massnahmenkatalog!$H:$H,MATCH($B75,02_Massnahmenkatalog!$B:$B,0))</f>
        <v>Nein</v>
      </c>
      <c r="L75" s="15"/>
      <c r="M75" s="15" t="n">
        <v>3</v>
      </c>
      <c r="N75" s="26" t="n">
        <f aca="false">INDEX(02_Massnahmenkatalog!$G:$G,MATCH($B75,02_Massnahmenkatalog!$B:$B,0))</f>
        <v>20</v>
      </c>
      <c r="O75" s="29" t="n">
        <f aca="false">INDEX(04_Nutzungsdauern!$C:$C,MATCH($M75,04_Nutzungsdauern!$B:$B,0))</f>
        <v>0.7</v>
      </c>
      <c r="P75" s="18" t="n">
        <f aca="false">$N75*$O75-(A_Jahr-IF($L75="",Obj_Baujahr,$L75))</f>
        <v>-30</v>
      </c>
      <c r="Q75" s="18" t="n">
        <f aca="false">A_Jahr+MAX(0,$P75)</f>
        <v>2026</v>
      </c>
      <c r="R75" s="15" t="s">
        <v>601</v>
      </c>
      <c r="S75" s="18" t="str">
        <f aca="false">IF($R75="Automatik",IF($Q75&lt;=A_Jahr+A_Horizont,"JA","NEIN"),IF(OR($R75="Sofort",$R75="In Horizont"),"JA","NEIN"))</f>
        <v>JA</v>
      </c>
      <c r="T75" s="16" t="n">
        <v>0</v>
      </c>
      <c r="U75" s="20" t="n">
        <f aca="false">IF(AND($K75="Ja",$S75="JA"),$J75*(1-$T75),0)</f>
        <v>0</v>
      </c>
      <c r="V75" s="30" t="str">
        <f aca="false">IF(AND($S75="NEIN",OR(AND(Obj_Zielstandard="EH 55 EE",$X75="Ja"),AND(Obj_Zielstandard="EH 40 EE",$Y75="Ja"))),"Pflicht bei Zielstandard, aber nicht aufgenommen","")</f>
        <v/>
      </c>
      <c r="W75" s="15"/>
      <c r="X75" s="26" t="str">
        <f aca="false">INDEX(02_Massnahmenkatalog!$J:$J,MATCH($B75,02_Massnahmenkatalog!$B:$B,0))</f>
        <v>Nein</v>
      </c>
      <c r="Y75" s="26" t="str">
        <f aca="false">INDEX(02_Massnahmenkatalog!$K:$K,MATCH($B75,02_Massnahmenkatalog!$B:$B,0))</f>
        <v>Nein</v>
      </c>
    </row>
    <row r="76" customFormat="false" ht="23.85" hidden="false" customHeight="false" outlineLevel="0" collapsed="false">
      <c r="B76" s="18" t="s">
        <v>322</v>
      </c>
      <c r="C76" s="26" t="str">
        <f aca="false">INDEX(02_Massnahmenkatalog!$C:$C,MATCH($B76,02_Massnahmenkatalog!$B:$B,0))</f>
        <v>Elektro/Innenausbau</v>
      </c>
      <c r="D76" s="27" t="str">
        <f aca="false">INDEX(02_Massnahmenkatalog!$D:$D,MATCH($B76,02_Massnahmenkatalog!$B:$B,0))</f>
        <v>Innentüren ersetzen</v>
      </c>
      <c r="E76" s="26" t="str">
        <f aca="false">INDEX(02_Massnahmenkatalog!$E:$E,MATCH($B76,02_Massnahmenkatalog!$B:$B,0))</f>
        <v>€/Stück</v>
      </c>
      <c r="F76" s="18" t="n">
        <f aca="false">Obj_AnzTueren</f>
        <v>7</v>
      </c>
      <c r="G76" s="15"/>
      <c r="H76" s="18" t="n">
        <f aca="false">IF($G76="",$F76,$G76)</f>
        <v>7</v>
      </c>
      <c r="I76" s="28" t="n">
        <f aca="false">INDEX(02_Massnahmenkatalog!$F:$F,MATCH($B76,02_Massnahmenkatalog!$B:$B,0))</f>
        <v>600</v>
      </c>
      <c r="J76" s="20" t="n">
        <f aca="false">$H76*$I76</f>
        <v>4200</v>
      </c>
      <c r="K76" s="26" t="str">
        <f aca="false">INDEX(02_Massnahmenkatalog!$H:$H,MATCH($B76,02_Massnahmenkatalog!$B:$B,0))</f>
        <v>Nein</v>
      </c>
      <c r="L76" s="15"/>
      <c r="M76" s="15" t="n">
        <v>3</v>
      </c>
      <c r="N76" s="26" t="n">
        <f aca="false">INDEX(02_Massnahmenkatalog!$G:$G,MATCH($B76,02_Massnahmenkatalog!$B:$B,0))</f>
        <v>55</v>
      </c>
      <c r="O76" s="29" t="n">
        <f aca="false">INDEX(04_Nutzungsdauern!$C:$C,MATCH($M76,04_Nutzungsdauern!$B:$B,0))</f>
        <v>0.7</v>
      </c>
      <c r="P76" s="18" t="n">
        <f aca="false">$N76*$O76-(A_Jahr-IF($L76="",Obj_Baujahr,$L76))</f>
        <v>-5.5</v>
      </c>
      <c r="Q76" s="18" t="n">
        <f aca="false">A_Jahr+MAX(0,$P76)</f>
        <v>2026</v>
      </c>
      <c r="R76" s="15" t="s">
        <v>601</v>
      </c>
      <c r="S76" s="18" t="str">
        <f aca="false">IF($R76="Automatik",IF($Q76&lt;=A_Jahr+A_Horizont,"JA","NEIN"),IF(OR($R76="Sofort",$R76="In Horizont"),"JA","NEIN"))</f>
        <v>JA</v>
      </c>
      <c r="T76" s="16" t="n">
        <v>0</v>
      </c>
      <c r="U76" s="20" t="n">
        <f aca="false">IF(AND($K76="Ja",$S76="JA"),$J76*(1-$T76),0)</f>
        <v>0</v>
      </c>
      <c r="V76" s="30" t="str">
        <f aca="false">IF(AND($S76="NEIN",OR(AND(Obj_Zielstandard="EH 55 EE",$X76="Ja"),AND(Obj_Zielstandard="EH 40 EE",$Y76="Ja"))),"Pflicht bei Zielstandard, aber nicht aufgenommen","")</f>
        <v/>
      </c>
      <c r="W76" s="15"/>
      <c r="X76" s="26" t="str">
        <f aca="false">INDEX(02_Massnahmenkatalog!$J:$J,MATCH($B76,02_Massnahmenkatalog!$B:$B,0))</f>
        <v>Nein</v>
      </c>
      <c r="Y76" s="26" t="str">
        <f aca="false">INDEX(02_Massnahmenkatalog!$K:$K,MATCH($B76,02_Massnahmenkatalog!$B:$B,0))</f>
        <v>Nein</v>
      </c>
    </row>
    <row r="77" customFormat="false" ht="46.25" hidden="false" customHeight="false" outlineLevel="0" collapsed="false">
      <c r="B77" s="18" t="s">
        <v>324</v>
      </c>
      <c r="C77" s="26" t="str">
        <f aca="false">INDEX(02_Massnahmenkatalog!$C:$C,MATCH($B77,02_Massnahmenkatalog!$B:$B,0))</f>
        <v>Elektro/Innenausbau</v>
      </c>
      <c r="D77" s="27" t="str">
        <f aca="false">INDEX(02_Massnahmenkatalog!$D:$D,MATCH($B77,02_Massnahmenkatalog!$B:$B,0))</f>
        <v>Bodenbeläge (Mix Parkett/Fliese)</v>
      </c>
      <c r="E77" s="26" t="str">
        <f aca="false">INDEX(02_Massnahmenkatalog!$E:$E,MATCH($B77,02_Massnahmenkatalog!$B:$B,0))</f>
        <v>€/m² WF</v>
      </c>
      <c r="F77" s="18" t="n">
        <f aca="false">Obj_Wohnflaeche</f>
        <v>138</v>
      </c>
      <c r="G77" s="15"/>
      <c r="H77" s="18" t="n">
        <f aca="false">IF($G77="",$F77,$G77)</f>
        <v>138</v>
      </c>
      <c r="I77" s="28" t="n">
        <f aca="false">INDEX(02_Massnahmenkatalog!$F:$F,MATCH($B77,02_Massnahmenkatalog!$B:$B,0))</f>
        <v>120</v>
      </c>
      <c r="J77" s="20" t="n">
        <f aca="false">$H77*$I77</f>
        <v>16560</v>
      </c>
      <c r="K77" s="26" t="str">
        <f aca="false">INDEX(02_Massnahmenkatalog!$H:$H,MATCH($B77,02_Massnahmenkatalog!$B:$B,0))</f>
        <v>Nein</v>
      </c>
      <c r="L77" s="15"/>
      <c r="M77" s="15" t="n">
        <v>3</v>
      </c>
      <c r="N77" s="26" t="n">
        <f aca="false">INDEX(02_Massnahmenkatalog!$G:$G,MATCH($B77,02_Massnahmenkatalog!$B:$B,0))</f>
        <v>35</v>
      </c>
      <c r="O77" s="29" t="n">
        <f aca="false">INDEX(04_Nutzungsdauern!$C:$C,MATCH($M77,04_Nutzungsdauern!$B:$B,0))</f>
        <v>0.7</v>
      </c>
      <c r="P77" s="18" t="n">
        <f aca="false">$N77*$O77-(A_Jahr-IF($L77="",Obj_Baujahr,$L77))</f>
        <v>-19.5</v>
      </c>
      <c r="Q77" s="18" t="n">
        <f aca="false">A_Jahr+MAX(0,$P77)</f>
        <v>2026</v>
      </c>
      <c r="R77" s="15" t="s">
        <v>601</v>
      </c>
      <c r="S77" s="18" t="str">
        <f aca="false">IF($R77="Automatik",IF($Q77&lt;=A_Jahr+A_Horizont,"JA","NEIN"),IF(OR($R77="Sofort",$R77="In Horizont"),"JA","NEIN"))</f>
        <v>JA</v>
      </c>
      <c r="T77" s="16" t="n">
        <v>0</v>
      </c>
      <c r="U77" s="20" t="n">
        <f aca="false">IF(AND($K77="Ja",$S77="JA"),$J77*(1-$T77),0)</f>
        <v>0</v>
      </c>
      <c r="V77" s="30" t="str">
        <f aca="false">IF(AND($S77="NEIN",OR(AND(Obj_Zielstandard="EH 55 EE",$X77="Ja"),AND(Obj_Zielstandard="EH 40 EE",$Y77="Ja"))),"Pflicht bei Zielstandard, aber nicht aufgenommen","")</f>
        <v/>
      </c>
      <c r="W77" s="15"/>
      <c r="X77" s="26" t="str">
        <f aca="false">INDEX(02_Massnahmenkatalog!$J:$J,MATCH($B77,02_Massnahmenkatalog!$B:$B,0))</f>
        <v>Nein</v>
      </c>
      <c r="Y77" s="26" t="str">
        <f aca="false">INDEX(02_Massnahmenkatalog!$K:$K,MATCH($B77,02_Massnahmenkatalog!$B:$B,0))</f>
        <v>Nein</v>
      </c>
    </row>
    <row r="78" customFormat="false" ht="23.85" hidden="false" customHeight="false" outlineLevel="0" collapsed="false">
      <c r="B78" s="18" t="s">
        <v>327</v>
      </c>
      <c r="C78" s="26" t="str">
        <f aca="false">INDEX(02_Massnahmenkatalog!$C:$C,MATCH($B78,02_Massnahmenkatalog!$B:$B,0))</f>
        <v>Elektro/Innenausbau</v>
      </c>
      <c r="D78" s="27" t="str">
        <f aca="false">INDEX(02_Massnahmenkatalog!$D:$D,MATCH($B78,02_Massnahmenkatalog!$B:$B,0))</f>
        <v>Treppe erneuern</v>
      </c>
      <c r="E78" s="26" t="str">
        <f aca="false">INDEX(02_Massnahmenkatalog!$E:$E,MATCH($B78,02_Massnahmenkatalog!$B:$B,0))</f>
        <v>€ pauschal</v>
      </c>
      <c r="F78" s="18" t="n">
        <f aca="false">1</f>
        <v>1</v>
      </c>
      <c r="G78" s="15"/>
      <c r="H78" s="18" t="n">
        <f aca="false">IF($G78="",$F78,$G78)</f>
        <v>1</v>
      </c>
      <c r="I78" s="28" t="n">
        <f aca="false">INDEX(02_Massnahmenkatalog!$F:$F,MATCH($B78,02_Massnahmenkatalog!$B:$B,0))</f>
        <v>3200</v>
      </c>
      <c r="J78" s="20" t="n">
        <f aca="false">$H78*$I78</f>
        <v>3200</v>
      </c>
      <c r="K78" s="26" t="str">
        <f aca="false">INDEX(02_Massnahmenkatalog!$H:$H,MATCH($B78,02_Massnahmenkatalog!$B:$B,0))</f>
        <v>Nein</v>
      </c>
      <c r="L78" s="15"/>
      <c r="M78" s="15" t="n">
        <v>3</v>
      </c>
      <c r="N78" s="26" t="n">
        <f aca="false">INDEX(02_Massnahmenkatalog!$G:$G,MATCH($B78,02_Massnahmenkatalog!$B:$B,0))</f>
        <v>0</v>
      </c>
      <c r="O78" s="29" t="n">
        <f aca="false">INDEX(04_Nutzungsdauern!$C:$C,MATCH($M78,04_Nutzungsdauern!$B:$B,0))</f>
        <v>0.7</v>
      </c>
      <c r="P78" s="18" t="n">
        <f aca="false">$N78*$O78-(A_Jahr-IF($L78="",Obj_Baujahr,$L78))</f>
        <v>-44</v>
      </c>
      <c r="Q78" s="18" t="n">
        <f aca="false">A_Jahr+MAX(0,$P78)</f>
        <v>2026</v>
      </c>
      <c r="R78" s="15" t="s">
        <v>601</v>
      </c>
      <c r="S78" s="18" t="str">
        <f aca="false">IF($R78="Automatik",IF($Q78&lt;=A_Jahr+A_Horizont,"JA","NEIN"),IF(OR($R78="Sofort",$R78="In Horizont"),"JA","NEIN"))</f>
        <v>JA</v>
      </c>
      <c r="T78" s="16" t="n">
        <v>0</v>
      </c>
      <c r="U78" s="20" t="n">
        <f aca="false">IF(AND($K78="Ja",$S78="JA"),$J78*(1-$T78),0)</f>
        <v>0</v>
      </c>
      <c r="V78" s="30" t="str">
        <f aca="false">IF(AND($S78="NEIN",OR(AND(Obj_Zielstandard="EH 55 EE",$X78="Ja"),AND(Obj_Zielstandard="EH 40 EE",$Y78="Ja"))),"Pflicht bei Zielstandard, aber nicht aufgenommen","")</f>
        <v/>
      </c>
      <c r="W78" s="15"/>
      <c r="X78" s="26" t="str">
        <f aca="false">INDEX(02_Massnahmenkatalog!$J:$J,MATCH($B78,02_Massnahmenkatalog!$B:$B,0))</f>
        <v>Nein</v>
      </c>
      <c r="Y78" s="26" t="str">
        <f aca="false">INDEX(02_Massnahmenkatalog!$K:$K,MATCH($B78,02_Massnahmenkatalog!$B:$B,0))</f>
        <v>Nein</v>
      </c>
    </row>
    <row r="79" customFormat="false" ht="35.05" hidden="false" customHeight="false" outlineLevel="0" collapsed="false">
      <c r="B79" s="18" t="s">
        <v>330</v>
      </c>
      <c r="C79" s="26" t="str">
        <f aca="false">INDEX(02_Massnahmenkatalog!$C:$C,MATCH($B79,02_Massnahmenkatalog!$B:$B,0))</f>
        <v>Elektro/Innenausbau</v>
      </c>
      <c r="D79" s="27" t="str">
        <f aca="false">INDEX(02_Massnahmenkatalog!$D:$D,MATCH($B79,02_Massnahmenkatalog!$B:$B,0))</f>
        <v>Wanddurchbruch tragend inkl. Statiker</v>
      </c>
      <c r="E79" s="26" t="str">
        <f aca="false">INDEX(02_Massnahmenkatalog!$E:$E,MATCH($B79,02_Massnahmenkatalog!$B:$B,0))</f>
        <v>€/Stück</v>
      </c>
      <c r="F79" s="18" t="n">
        <f aca="false">0</f>
        <v>0</v>
      </c>
      <c r="G79" s="15"/>
      <c r="H79" s="18" t="n">
        <f aca="false">IF($G79="",$F79,$G79)</f>
        <v>0</v>
      </c>
      <c r="I79" s="28" t="n">
        <f aca="false">INDEX(02_Massnahmenkatalog!$F:$F,MATCH($B79,02_Massnahmenkatalog!$B:$B,0))</f>
        <v>2900</v>
      </c>
      <c r="J79" s="20" t="n">
        <f aca="false">$H79*$I79</f>
        <v>0</v>
      </c>
      <c r="K79" s="26" t="str">
        <f aca="false">INDEX(02_Massnahmenkatalog!$H:$H,MATCH($B79,02_Massnahmenkatalog!$B:$B,0))</f>
        <v>Nein</v>
      </c>
      <c r="L79" s="15"/>
      <c r="M79" s="15" t="n">
        <v>3</v>
      </c>
      <c r="N79" s="26" t="n">
        <f aca="false">INDEX(02_Massnahmenkatalog!$G:$G,MATCH($B79,02_Massnahmenkatalog!$B:$B,0))</f>
        <v>0</v>
      </c>
      <c r="O79" s="29" t="n">
        <f aca="false">INDEX(04_Nutzungsdauern!$C:$C,MATCH($M79,04_Nutzungsdauern!$B:$B,0))</f>
        <v>0.7</v>
      </c>
      <c r="P79" s="18" t="n">
        <f aca="false">$N79*$O79-(A_Jahr-IF($L79="",Obj_Baujahr,$L79))</f>
        <v>-44</v>
      </c>
      <c r="Q79" s="18" t="n">
        <f aca="false">A_Jahr+MAX(0,$P79)</f>
        <v>2026</v>
      </c>
      <c r="R79" s="15" t="s">
        <v>601</v>
      </c>
      <c r="S79" s="18" t="str">
        <f aca="false">IF($R79="Automatik",IF($Q79&lt;=A_Jahr+A_Horizont,"JA","NEIN"),IF(OR($R79="Sofort",$R79="In Horizont"),"JA","NEIN"))</f>
        <v>JA</v>
      </c>
      <c r="T79" s="16" t="n">
        <v>0</v>
      </c>
      <c r="U79" s="20" t="n">
        <f aca="false">IF(AND($K79="Ja",$S79="JA"),$J79*(1-$T79),0)</f>
        <v>0</v>
      </c>
      <c r="V79" s="30" t="str">
        <f aca="false">IF(AND($S79="NEIN",OR(AND(Obj_Zielstandard="EH 55 EE",$X79="Ja"),AND(Obj_Zielstandard="EH 40 EE",$Y79="Ja"))),"Pflicht bei Zielstandard, aber nicht aufgenommen","")</f>
        <v/>
      </c>
      <c r="W79" s="15"/>
      <c r="X79" s="26" t="str">
        <f aca="false">INDEX(02_Massnahmenkatalog!$J:$J,MATCH($B79,02_Massnahmenkatalog!$B:$B,0))</f>
        <v>Nein</v>
      </c>
      <c r="Y79" s="26" t="str">
        <f aca="false">INDEX(02_Massnahmenkatalog!$K:$K,MATCH($B79,02_Massnahmenkatalog!$B:$B,0))</f>
        <v>Nein</v>
      </c>
    </row>
    <row r="80" customFormat="false" ht="57.45" hidden="false" customHeight="false" outlineLevel="0" collapsed="false">
      <c r="B80" s="18" t="s">
        <v>333</v>
      </c>
      <c r="C80" s="26" t="str">
        <f aca="false">INDEX(02_Massnahmenkatalog!$C:$C,MATCH($B80,02_Massnahmenkatalog!$B:$B,0))</f>
        <v>Elektro/Innenausbau</v>
      </c>
      <c r="D80" s="27" t="str">
        <f aca="false">INDEX(02_Massnahmenkatalog!$D:$D,MATCH($B80,02_Massnahmenkatalog!$B:$B,0))</f>
        <v>Entkernung komplett (nur Vollsanierung Baujahr &lt;1960)</v>
      </c>
      <c r="E80" s="26" t="str">
        <f aca="false">INDEX(02_Massnahmenkatalog!$E:$E,MATCH($B80,02_Massnahmenkatalog!$B:$B,0))</f>
        <v>€/m² WF</v>
      </c>
      <c r="F80" s="18" t="n">
        <f aca="false">Obj_Wohnflaeche</f>
        <v>138</v>
      </c>
      <c r="G80" s="15"/>
      <c r="H80" s="18" t="n">
        <f aca="false">IF($G80="",$F80,$G80)</f>
        <v>138</v>
      </c>
      <c r="I80" s="28" t="n">
        <f aca="false">INDEX(02_Massnahmenkatalog!$F:$F,MATCH($B80,02_Massnahmenkatalog!$B:$B,0))</f>
        <v>95</v>
      </c>
      <c r="J80" s="20" t="n">
        <f aca="false">$H80*$I80</f>
        <v>13110</v>
      </c>
      <c r="K80" s="26" t="str">
        <f aca="false">INDEX(02_Massnahmenkatalog!$H:$H,MATCH($B80,02_Massnahmenkatalog!$B:$B,0))</f>
        <v>Nein</v>
      </c>
      <c r="L80" s="15"/>
      <c r="M80" s="15" t="n">
        <v>3</v>
      </c>
      <c r="N80" s="26" t="n">
        <f aca="false">INDEX(02_Massnahmenkatalog!$G:$G,MATCH($B80,02_Massnahmenkatalog!$B:$B,0))</f>
        <v>0</v>
      </c>
      <c r="O80" s="29" t="n">
        <f aca="false">INDEX(04_Nutzungsdauern!$C:$C,MATCH($M80,04_Nutzungsdauern!$B:$B,0))</f>
        <v>0.7</v>
      </c>
      <c r="P80" s="18" t="n">
        <f aca="false">$N80*$O80-(A_Jahr-IF($L80="",Obj_Baujahr,$L80))</f>
        <v>-44</v>
      </c>
      <c r="Q80" s="18" t="n">
        <f aca="false">A_Jahr+MAX(0,$P80)</f>
        <v>2026</v>
      </c>
      <c r="R80" s="15" t="s">
        <v>601</v>
      </c>
      <c r="S80" s="18" t="str">
        <f aca="false">IF($R80="Automatik",IF($Q80&lt;=A_Jahr+A_Horizont,"JA","NEIN"),IF(OR($R80="Sofort",$R80="In Horizont"),"JA","NEIN"))</f>
        <v>JA</v>
      </c>
      <c r="T80" s="16" t="n">
        <v>0</v>
      </c>
      <c r="U80" s="20" t="n">
        <f aca="false">IF(AND($K80="Ja",$S80="JA"),$J80*(1-$T80),0)</f>
        <v>0</v>
      </c>
      <c r="V80" s="30" t="str">
        <f aca="false">IF(AND($S80="NEIN",OR(AND(Obj_Zielstandard="EH 55 EE",$X80="Ja"),AND(Obj_Zielstandard="EH 40 EE",$Y80="Ja"))),"Pflicht bei Zielstandard, aber nicht aufgenommen","")</f>
        <v/>
      </c>
      <c r="W80" s="15"/>
      <c r="X80" s="26" t="str">
        <f aca="false">INDEX(02_Massnahmenkatalog!$J:$J,MATCH($B80,02_Massnahmenkatalog!$B:$B,0))</f>
        <v>Nein</v>
      </c>
      <c r="Y80" s="26" t="str">
        <f aca="false">INDEX(02_Massnahmenkatalog!$K:$K,MATCH($B80,02_Massnahmenkatalog!$B:$B,0))</f>
        <v>Nein</v>
      </c>
    </row>
    <row r="81" customFormat="false" ht="57.45" hidden="false" customHeight="false" outlineLevel="0" collapsed="false">
      <c r="B81" s="18" t="s">
        <v>336</v>
      </c>
      <c r="C81" s="26" t="str">
        <f aca="false">INDEX(02_Massnahmenkatalog!$C:$C,MATCH($B81,02_Massnahmenkatalog!$B:$B,0))</f>
        <v>Risiko/Schadstoff</v>
      </c>
      <c r="D81" s="27" t="str">
        <f aca="false">INDEX(02_Massnahmenkatalog!$D:$D,MATCH($B81,02_Massnahmenkatalog!$B:$B,0))</f>
        <v>Asbest-Eternitplatten Dach: Demontage+Entsorgung</v>
      </c>
      <c r="E81" s="26" t="str">
        <f aca="false">INDEX(02_Massnahmenkatalog!$E:$E,MATCH($B81,02_Massnahmenkatalog!$B:$B,0))</f>
        <v>€/m² Dachfläche</v>
      </c>
      <c r="F81" s="18" t="n">
        <f aca="false">IF(AND(Obj_Baujahr&lt;1994,Obj_DachEternit="Ja"),Obj_Dachflaeche,0)</f>
        <v>0</v>
      </c>
      <c r="G81" s="15"/>
      <c r="H81" s="18" t="n">
        <f aca="false">IF($G81="",$F81,$G81)</f>
        <v>0</v>
      </c>
      <c r="I81" s="28" t="n">
        <f aca="false">INDEX(02_Massnahmenkatalog!$F:$F,MATCH($B81,02_Massnahmenkatalog!$B:$B,0))</f>
        <v>40</v>
      </c>
      <c r="J81" s="20" t="n">
        <f aca="false">$H81*$I81</f>
        <v>0</v>
      </c>
      <c r="K81" s="26" t="str">
        <f aca="false">INDEX(02_Massnahmenkatalog!$H:$H,MATCH($B81,02_Massnahmenkatalog!$B:$B,0))</f>
        <v>Nein</v>
      </c>
      <c r="L81" s="15"/>
      <c r="M81" s="15" t="n">
        <v>3</v>
      </c>
      <c r="N81" s="26" t="n">
        <f aca="false">INDEX(02_Massnahmenkatalog!$G:$G,MATCH($B81,02_Massnahmenkatalog!$B:$B,0))</f>
        <v>0</v>
      </c>
      <c r="O81" s="29" t="n">
        <f aca="false">INDEX(04_Nutzungsdauern!$C:$C,MATCH($M81,04_Nutzungsdauern!$B:$B,0))</f>
        <v>0.7</v>
      </c>
      <c r="P81" s="18" t="n">
        <f aca="false">$N81*$O81-(A_Jahr-IF($L81="",Obj_Baujahr,$L81))</f>
        <v>-44</v>
      </c>
      <c r="Q81" s="18" t="n">
        <f aca="false">A_Jahr+MAX(0,$P81)</f>
        <v>2026</v>
      </c>
      <c r="R81" s="15" t="s">
        <v>601</v>
      </c>
      <c r="S81" s="18" t="str">
        <f aca="false">IF($R81="Automatik",IF($Q81&lt;=A_Jahr+A_Horizont,"JA","NEIN"),IF(OR($R81="Sofort",$R81="In Horizont"),"JA","NEIN"))</f>
        <v>JA</v>
      </c>
      <c r="T81" s="16" t="n">
        <v>0</v>
      </c>
      <c r="U81" s="20" t="n">
        <f aca="false">IF(AND($K81="Ja",$S81="JA"),$J81*(1-$T81),0)</f>
        <v>0</v>
      </c>
      <c r="V81" s="30" t="str">
        <f aca="false">IF(AND($S81="NEIN",OR(AND(Obj_Zielstandard="EH 55 EE",$X81="Ja"),AND(Obj_Zielstandard="EH 40 EE",$Y81="Ja"))),"Pflicht bei Zielstandard, aber nicht aufgenommen","")</f>
        <v/>
      </c>
      <c r="W81" s="15"/>
      <c r="X81" s="26" t="str">
        <f aca="false">INDEX(02_Massnahmenkatalog!$J:$J,MATCH($B81,02_Massnahmenkatalog!$B:$B,0))</f>
        <v>Nein</v>
      </c>
      <c r="Y81" s="26" t="str">
        <f aca="false">INDEX(02_Massnahmenkatalog!$K:$K,MATCH($B81,02_Massnahmenkatalog!$B:$B,0))</f>
        <v>Nein</v>
      </c>
    </row>
    <row r="82" customFormat="false" ht="35.05" hidden="false" customHeight="false" outlineLevel="0" collapsed="false">
      <c r="B82" s="18" t="s">
        <v>340</v>
      </c>
      <c r="C82" s="26" t="str">
        <f aca="false">INDEX(02_Massnahmenkatalog!$C:$C,MATCH($B82,02_Massnahmenkatalog!$B:$B,0))</f>
        <v>Risiko/Schadstoff</v>
      </c>
      <c r="D82" s="27" t="str">
        <f aca="false">INDEX(02_Massnahmenkatalog!$D:$D,MATCH($B82,02_Massnahmenkatalog!$B:$B,0))</f>
        <v>Vinyl-Asbest-Fliesen entfernen</v>
      </c>
      <c r="E82" s="26" t="str">
        <f aca="false">INDEX(02_Massnahmenkatalog!$E:$E,MATCH($B82,02_Massnahmenkatalog!$B:$B,0))</f>
        <v>€/m² WF</v>
      </c>
      <c r="F82" s="18" t="n">
        <f aca="false">IF(Obj_Baujahr&lt;1994,Obj_Wohnflaeche,0)</f>
        <v>138</v>
      </c>
      <c r="G82" s="15"/>
      <c r="H82" s="18" t="n">
        <f aca="false">IF($G82="",$F82,$G82)</f>
        <v>138</v>
      </c>
      <c r="I82" s="28" t="n">
        <f aca="false">INDEX(02_Massnahmenkatalog!$F:$F,MATCH($B82,02_Massnahmenkatalog!$B:$B,0))</f>
        <v>40</v>
      </c>
      <c r="J82" s="20" t="n">
        <f aca="false">$H82*$I82</f>
        <v>5520</v>
      </c>
      <c r="K82" s="26" t="str">
        <f aca="false">INDEX(02_Massnahmenkatalog!$H:$H,MATCH($B82,02_Massnahmenkatalog!$B:$B,0))</f>
        <v>Nein</v>
      </c>
      <c r="L82" s="15"/>
      <c r="M82" s="15" t="n">
        <v>3</v>
      </c>
      <c r="N82" s="26" t="n">
        <f aca="false">INDEX(02_Massnahmenkatalog!$G:$G,MATCH($B82,02_Massnahmenkatalog!$B:$B,0))</f>
        <v>0</v>
      </c>
      <c r="O82" s="29" t="n">
        <f aca="false">INDEX(04_Nutzungsdauern!$C:$C,MATCH($M82,04_Nutzungsdauern!$B:$B,0))</f>
        <v>0.7</v>
      </c>
      <c r="P82" s="18" t="n">
        <f aca="false">$N82*$O82-(A_Jahr-IF($L82="",Obj_Baujahr,$L82))</f>
        <v>-44</v>
      </c>
      <c r="Q82" s="18" t="n">
        <f aca="false">A_Jahr+MAX(0,$P82)</f>
        <v>2026</v>
      </c>
      <c r="R82" s="15" t="s">
        <v>601</v>
      </c>
      <c r="S82" s="18" t="str">
        <f aca="false">IF($R82="Automatik",IF($Q82&lt;=A_Jahr+A_Horizont,"JA","NEIN"),IF(OR($R82="Sofort",$R82="In Horizont"),"JA","NEIN"))</f>
        <v>JA</v>
      </c>
      <c r="T82" s="16" t="n">
        <v>0</v>
      </c>
      <c r="U82" s="20" t="n">
        <f aca="false">IF(AND($K82="Ja",$S82="JA"),$J82*(1-$T82),0)</f>
        <v>0</v>
      </c>
      <c r="V82" s="30" t="str">
        <f aca="false">IF(AND($S82="NEIN",OR(AND(Obj_Zielstandard="EH 55 EE",$X82="Ja"),AND(Obj_Zielstandard="EH 40 EE",$Y82="Ja"))),"Pflicht bei Zielstandard, aber nicht aufgenommen","")</f>
        <v/>
      </c>
      <c r="W82" s="15"/>
      <c r="X82" s="26" t="str">
        <f aca="false">INDEX(02_Massnahmenkatalog!$J:$J,MATCH($B82,02_Massnahmenkatalog!$B:$B,0))</f>
        <v>Nein</v>
      </c>
      <c r="Y82" s="26" t="str">
        <f aca="false">INDEX(02_Massnahmenkatalog!$K:$K,MATCH($B82,02_Massnahmenkatalog!$B:$B,0))</f>
        <v>Nein</v>
      </c>
    </row>
    <row r="83" customFormat="false" ht="57.45" hidden="false" customHeight="false" outlineLevel="0" collapsed="false">
      <c r="B83" s="18" t="s">
        <v>343</v>
      </c>
      <c r="C83" s="26" t="str">
        <f aca="false">INDEX(02_Massnahmenkatalog!$C:$C,MATCH($B83,02_Massnahmenkatalog!$B:$B,0))</f>
        <v>Risiko/Schadstoff</v>
      </c>
      <c r="D83" s="27" t="str">
        <f aca="false">INDEX(02_Massnahmenkatalog!$D:$D,MATCH($B83,02_Massnahmenkatalog!$B:$B,0))</f>
        <v>Nachtspeicherofen entsorgen (asbestverdächtig)</v>
      </c>
      <c r="E83" s="26" t="str">
        <f aca="false">INDEX(02_Massnahmenkatalog!$E:$E,MATCH($B83,02_Massnahmenkatalog!$B:$B,0))</f>
        <v>€/Gerät</v>
      </c>
      <c r="F83" s="18" t="n">
        <f aca="false">Obj_AnzNachtspeicher</f>
        <v>0</v>
      </c>
      <c r="G83" s="15" t="n">
        <v>0</v>
      </c>
      <c r="H83" s="18" t="n">
        <f aca="false">IF($G83="",$F83,$G83)</f>
        <v>0</v>
      </c>
      <c r="I83" s="28" t="n">
        <f aca="false">INDEX(02_Massnahmenkatalog!$F:$F,MATCH($B83,02_Massnahmenkatalog!$B:$B,0))</f>
        <v>220</v>
      </c>
      <c r="J83" s="20" t="n">
        <f aca="false">$H83*$I83</f>
        <v>0</v>
      </c>
      <c r="K83" s="26" t="str">
        <f aca="false">INDEX(02_Massnahmenkatalog!$H:$H,MATCH($B83,02_Massnahmenkatalog!$B:$B,0))</f>
        <v>Nein</v>
      </c>
      <c r="L83" s="15"/>
      <c r="M83" s="15" t="n">
        <v>3</v>
      </c>
      <c r="N83" s="26" t="n">
        <f aca="false">INDEX(02_Massnahmenkatalog!$G:$G,MATCH($B83,02_Massnahmenkatalog!$B:$B,0))</f>
        <v>0</v>
      </c>
      <c r="O83" s="29" t="n">
        <f aca="false">INDEX(04_Nutzungsdauern!$C:$C,MATCH($M83,04_Nutzungsdauern!$B:$B,0))</f>
        <v>0.7</v>
      </c>
      <c r="P83" s="18" t="n">
        <f aca="false">$N83*$O83-(A_Jahr-IF($L83="",Obj_Baujahr,$L83))</f>
        <v>-44</v>
      </c>
      <c r="Q83" s="18" t="n">
        <f aca="false">A_Jahr+MAX(0,$P83)</f>
        <v>2026</v>
      </c>
      <c r="R83" s="15" t="s">
        <v>601</v>
      </c>
      <c r="S83" s="18" t="str">
        <f aca="false">IF($R83="Automatik",IF($Q83&lt;=A_Jahr+A_Horizont,"JA","NEIN"),IF(OR($R83="Sofort",$R83="In Horizont"),"JA","NEIN"))</f>
        <v>JA</v>
      </c>
      <c r="T83" s="16" t="n">
        <v>0</v>
      </c>
      <c r="U83" s="20" t="n">
        <f aca="false">IF(AND($K83="Ja",$S83="JA"),$J83*(1-$T83),0)</f>
        <v>0</v>
      </c>
      <c r="V83" s="30" t="str">
        <f aca="false">IF(AND($S83="NEIN",OR(AND(Obj_Zielstandard="EH 55 EE",$X83="Ja"),AND(Obj_Zielstandard="EH 40 EE",$Y83="Ja"))),"Pflicht bei Zielstandard, aber nicht aufgenommen","")</f>
        <v/>
      </c>
      <c r="W83" s="15" t="s">
        <v>783</v>
      </c>
      <c r="X83" s="26" t="str">
        <f aca="false">INDEX(02_Massnahmenkatalog!$J:$J,MATCH($B83,02_Massnahmenkatalog!$B:$B,0))</f>
        <v>Nein</v>
      </c>
      <c r="Y83" s="26" t="str">
        <f aca="false">INDEX(02_Massnahmenkatalog!$K:$K,MATCH($B83,02_Massnahmenkatalog!$B:$B,0))</f>
        <v>Nein</v>
      </c>
    </row>
    <row r="84" customFormat="false" ht="35.05" hidden="false" customHeight="false" outlineLevel="0" collapsed="false">
      <c r="B84" s="18" t="s">
        <v>346</v>
      </c>
      <c r="C84" s="26" t="str">
        <f aca="false">INDEX(02_Massnahmenkatalog!$C:$C,MATCH($B84,02_Massnahmenkatalog!$B:$B,0))</f>
        <v>Risiko/Schadstoff</v>
      </c>
      <c r="D84" s="27" t="str">
        <f aca="false">INDEX(02_Massnahmenkatalog!$D:$D,MATCH($B84,02_Massnahmenkatalog!$B:$B,0))</f>
        <v>Öltank-Stilllegung + Entsorgung</v>
      </c>
      <c r="E84" s="26" t="str">
        <f aca="false">INDEX(02_Massnahmenkatalog!$E:$E,MATCH($B84,02_Massnahmenkatalog!$B:$B,0))</f>
        <v>€ pauschal</v>
      </c>
      <c r="F84" s="18" t="n">
        <f aca="false">IF(Obj_HeizungAlt="Ölheizung",1,0)</f>
        <v>0</v>
      </c>
      <c r="G84" s="15"/>
      <c r="H84" s="18" t="n">
        <f aca="false">IF($G84="",$F84,$G84)</f>
        <v>0</v>
      </c>
      <c r="I84" s="28" t="n">
        <f aca="false">INDEX(02_Massnahmenkatalog!$F:$F,MATCH($B84,02_Massnahmenkatalog!$B:$B,0))</f>
        <v>1500</v>
      </c>
      <c r="J84" s="20" t="n">
        <f aca="false">$H84*$I84</f>
        <v>0</v>
      </c>
      <c r="K84" s="26" t="str">
        <f aca="false">INDEX(02_Massnahmenkatalog!$H:$H,MATCH($B84,02_Massnahmenkatalog!$B:$B,0))</f>
        <v>Nein</v>
      </c>
      <c r="L84" s="15"/>
      <c r="M84" s="15" t="n">
        <v>3</v>
      </c>
      <c r="N84" s="26" t="n">
        <f aca="false">INDEX(02_Massnahmenkatalog!$G:$G,MATCH($B84,02_Massnahmenkatalog!$B:$B,0))</f>
        <v>0</v>
      </c>
      <c r="O84" s="29" t="n">
        <f aca="false">INDEX(04_Nutzungsdauern!$C:$C,MATCH($M84,04_Nutzungsdauern!$B:$B,0))</f>
        <v>0.7</v>
      </c>
      <c r="P84" s="18" t="n">
        <f aca="false">$N84*$O84-(A_Jahr-IF($L84="",Obj_Baujahr,$L84))</f>
        <v>-44</v>
      </c>
      <c r="Q84" s="18" t="n">
        <f aca="false">A_Jahr+MAX(0,$P84)</f>
        <v>2026</v>
      </c>
      <c r="R84" s="15" t="s">
        <v>601</v>
      </c>
      <c r="S84" s="18" t="str">
        <f aca="false">IF($R84="Automatik",IF($Q84&lt;=A_Jahr+A_Horizont,"JA","NEIN"),IF(OR($R84="Sofort",$R84="In Horizont"),"JA","NEIN"))</f>
        <v>JA</v>
      </c>
      <c r="T84" s="16" t="n">
        <v>0</v>
      </c>
      <c r="U84" s="20" t="n">
        <f aca="false">IF(AND($K84="Ja",$S84="JA"),$J84*(1-$T84),0)</f>
        <v>0</v>
      </c>
      <c r="V84" s="30" t="str">
        <f aca="false">IF(AND($S84="NEIN",OR(AND(Obj_Zielstandard="EH 55 EE",$X84="Ja"),AND(Obj_Zielstandard="EH 40 EE",$Y84="Ja"))),"Pflicht bei Zielstandard, aber nicht aufgenommen","")</f>
        <v/>
      </c>
      <c r="W84" s="15"/>
      <c r="X84" s="26" t="str">
        <f aca="false">INDEX(02_Massnahmenkatalog!$J:$J,MATCH($B84,02_Massnahmenkatalog!$B:$B,0))</f>
        <v>Nein</v>
      </c>
      <c r="Y84" s="26" t="str">
        <f aca="false">INDEX(02_Massnahmenkatalog!$K:$K,MATCH($B84,02_Massnahmenkatalog!$B:$B,0))</f>
        <v>Nein</v>
      </c>
    </row>
    <row r="85" customFormat="false" ht="46.25" hidden="false" customHeight="false" outlineLevel="0" collapsed="false">
      <c r="B85" s="18" t="s">
        <v>349</v>
      </c>
      <c r="C85" s="26" t="str">
        <f aca="false">INDEX(02_Massnahmenkatalog!$C:$C,MATCH($B85,02_Massnahmenkatalog!$B:$B,0))</f>
        <v>Risiko/Schadstoff</v>
      </c>
      <c r="D85" s="27" t="str">
        <f aca="false">INDEX(02_Massnahmenkatalog!$D:$D,MATCH($B85,02_Massnahmenkatalog!$B:$B,0))</f>
        <v>Horizontalsperre gegen aufsteigende Feuchte</v>
      </c>
      <c r="E85" s="26" t="str">
        <f aca="false">INDEX(02_Massnahmenkatalog!$E:$E,MATCH($B85,02_Massnahmenkatalog!$B:$B,0))</f>
        <v>€/lfm Außenwand</v>
      </c>
      <c r="F85" s="18" t="n">
        <f aca="false">IF(Obj_FeuchteKeller="Ja",Obj_Umfang,0)</f>
        <v>0</v>
      </c>
      <c r="G85" s="15"/>
      <c r="H85" s="18" t="n">
        <f aca="false">IF($G85="",$F85,$G85)</f>
        <v>0</v>
      </c>
      <c r="I85" s="28" t="n">
        <f aca="false">INDEX(02_Massnahmenkatalog!$F:$F,MATCH($B85,02_Massnahmenkatalog!$B:$B,0))</f>
        <v>300</v>
      </c>
      <c r="J85" s="20" t="n">
        <f aca="false">$H85*$I85</f>
        <v>0</v>
      </c>
      <c r="K85" s="26" t="str">
        <f aca="false">INDEX(02_Massnahmenkatalog!$H:$H,MATCH($B85,02_Massnahmenkatalog!$B:$B,0))</f>
        <v>Nein</v>
      </c>
      <c r="L85" s="15"/>
      <c r="M85" s="15" t="n">
        <v>3</v>
      </c>
      <c r="N85" s="26" t="n">
        <f aca="false">INDEX(02_Massnahmenkatalog!$G:$G,MATCH($B85,02_Massnahmenkatalog!$B:$B,0))</f>
        <v>0</v>
      </c>
      <c r="O85" s="29" t="n">
        <f aca="false">INDEX(04_Nutzungsdauern!$C:$C,MATCH($M85,04_Nutzungsdauern!$B:$B,0))</f>
        <v>0.7</v>
      </c>
      <c r="P85" s="18" t="n">
        <f aca="false">$N85*$O85-(A_Jahr-IF($L85="",Obj_Baujahr,$L85))</f>
        <v>-44</v>
      </c>
      <c r="Q85" s="18" t="n">
        <f aca="false">A_Jahr+MAX(0,$P85)</f>
        <v>2026</v>
      </c>
      <c r="R85" s="15" t="s">
        <v>601</v>
      </c>
      <c r="S85" s="18" t="str">
        <f aca="false">IF($R85="Automatik",IF($Q85&lt;=A_Jahr+A_Horizont,"JA","NEIN"),IF(OR($R85="Sofort",$R85="In Horizont"),"JA","NEIN"))</f>
        <v>JA</v>
      </c>
      <c r="T85" s="16" t="n">
        <v>0</v>
      </c>
      <c r="U85" s="20" t="n">
        <f aca="false">IF(AND($K85="Ja",$S85="JA"),$J85*(1-$T85),0)</f>
        <v>0</v>
      </c>
      <c r="V85" s="30" t="str">
        <f aca="false">IF(AND($S85="NEIN",OR(AND(Obj_Zielstandard="EH 55 EE",$X85="Ja"),AND(Obj_Zielstandard="EH 40 EE",$Y85="Ja"))),"Pflicht bei Zielstandard, aber nicht aufgenommen","")</f>
        <v/>
      </c>
      <c r="W85" s="15"/>
      <c r="X85" s="26" t="str">
        <f aca="false">INDEX(02_Massnahmenkatalog!$J:$J,MATCH($B85,02_Massnahmenkatalog!$B:$B,0))</f>
        <v>Nein</v>
      </c>
      <c r="Y85" s="26" t="str">
        <f aca="false">INDEX(02_Massnahmenkatalog!$K:$K,MATCH($B85,02_Massnahmenkatalog!$B:$B,0))</f>
        <v>Nein</v>
      </c>
    </row>
    <row r="86" customFormat="false" ht="68.65" hidden="false" customHeight="false" outlineLevel="0" collapsed="false">
      <c r="B86" s="18" t="s">
        <v>353</v>
      </c>
      <c r="C86" s="26" t="str">
        <f aca="false">INDEX(02_Massnahmenkatalog!$C:$C,MATCH($B86,02_Massnahmenkatalog!$B:$B,0))</f>
        <v>Risiko/Schadstoff</v>
      </c>
      <c r="D86" s="27" t="str">
        <f aca="false">INDEX(02_Massnahmenkatalog!$D:$D,MATCH($B86,02_Massnahmenkatalog!$B:$B,0))</f>
        <v>Laboranalyse Asbestprobe + Dokumentation (§5a GefStoffV)</v>
      </c>
      <c r="E86" s="26" t="str">
        <f aca="false">INDEX(02_Massnahmenkatalog!$E:$E,MATCH($B86,02_Massnahmenkatalog!$B:$B,0))</f>
        <v>€ pauschal</v>
      </c>
      <c r="F86" s="18" t="n">
        <f aca="false">IF(Obj_Baujahr&lt;1994,1,0)</f>
        <v>1</v>
      </c>
      <c r="G86" s="15"/>
      <c r="H86" s="18" t="n">
        <f aca="false">IF($G86="",$F86,$G86)</f>
        <v>1</v>
      </c>
      <c r="I86" s="28" t="n">
        <f aca="false">INDEX(02_Massnahmenkatalog!$F:$F,MATCH($B86,02_Massnahmenkatalog!$B:$B,0))</f>
        <v>300</v>
      </c>
      <c r="J86" s="20" t="n">
        <f aca="false">$H86*$I86</f>
        <v>300</v>
      </c>
      <c r="K86" s="26" t="str">
        <f aca="false">INDEX(02_Massnahmenkatalog!$H:$H,MATCH($B86,02_Massnahmenkatalog!$B:$B,0))</f>
        <v>Nein</v>
      </c>
      <c r="L86" s="15"/>
      <c r="M86" s="15" t="n">
        <v>3</v>
      </c>
      <c r="N86" s="26" t="n">
        <f aca="false">INDEX(02_Massnahmenkatalog!$G:$G,MATCH($B86,02_Massnahmenkatalog!$B:$B,0))</f>
        <v>0</v>
      </c>
      <c r="O86" s="29" t="n">
        <f aca="false">INDEX(04_Nutzungsdauern!$C:$C,MATCH($M86,04_Nutzungsdauern!$B:$B,0))</f>
        <v>0.7</v>
      </c>
      <c r="P86" s="18" t="n">
        <f aca="false">$N86*$O86-(A_Jahr-IF($L86="",Obj_Baujahr,$L86))</f>
        <v>-44</v>
      </c>
      <c r="Q86" s="18" t="n">
        <f aca="false">A_Jahr+MAX(0,$P86)</f>
        <v>2026</v>
      </c>
      <c r="R86" s="15" t="s">
        <v>601</v>
      </c>
      <c r="S86" s="18" t="str">
        <f aca="false">IF($R86="Automatik",IF($Q86&lt;=A_Jahr+A_Horizont,"JA","NEIN"),IF(OR($R86="Sofort",$R86="In Horizont"),"JA","NEIN"))</f>
        <v>JA</v>
      </c>
      <c r="T86" s="16" t="n">
        <v>0</v>
      </c>
      <c r="U86" s="20" t="n">
        <f aca="false">IF(AND($K86="Ja",$S86="JA"),$J86*(1-$T86),0)</f>
        <v>0</v>
      </c>
      <c r="V86" s="30" t="str">
        <f aca="false">IF(AND($S86="NEIN",OR(AND(Obj_Zielstandard="EH 55 EE",$X86="Ja"),AND(Obj_Zielstandard="EH 40 EE",$Y86="Ja"))),"Pflicht bei Zielstandard, aber nicht aufgenommen","")</f>
        <v/>
      </c>
      <c r="W86" s="15"/>
      <c r="X86" s="26" t="str">
        <f aca="false">INDEX(02_Massnahmenkatalog!$J:$J,MATCH($B86,02_Massnahmenkatalog!$B:$B,0))</f>
        <v>Nein</v>
      </c>
      <c r="Y86" s="26" t="str">
        <f aca="false">INDEX(02_Massnahmenkatalog!$K:$K,MATCH($B86,02_Massnahmenkatalog!$B:$B,0))</f>
        <v>Nein</v>
      </c>
    </row>
    <row r="87" customFormat="false" ht="15" hidden="false" customHeight="false" outlineLevel="0" collapsed="false">
      <c r="B87" s="18" t="s">
        <v>356</v>
      </c>
      <c r="C87" s="26" t="str">
        <f aca="false">INDEX(02_Massnahmenkatalog!$C:$C,MATCH($B87,02_Massnahmenkatalog!$B:$B,0))</f>
        <v>Klimaneutralität</v>
      </c>
      <c r="D87" s="27" t="str">
        <f aca="false">INDEX(02_Massnahmenkatalog!$D:$D,MATCH($B87,02_Massnahmenkatalog!$B:$B,0))</f>
        <v>PV-Anlage</v>
      </c>
      <c r="E87" s="26" t="str">
        <f aca="false">INDEX(02_Massnahmenkatalog!$E:$E,MATCH($B87,02_Massnahmenkatalog!$B:$B,0))</f>
        <v>€/kWp (gestaffelt)</v>
      </c>
      <c r="F87" s="18" t="n">
        <f aca="false">Obj_PV_kWp</f>
        <v>8.15454545454545</v>
      </c>
      <c r="G87" s="15"/>
      <c r="H87" s="18" t="n">
        <f aca="false">IF($G87="",$F87,$G87)</f>
        <v>8.15454545454545</v>
      </c>
      <c r="I87" s="28" t="n">
        <f aca="false">LOOKUP($H87,05_Energiekennwerte!$B$19:$B$23,05_Energiekennwerte!$C$19:$C$23)</f>
        <v>1335</v>
      </c>
      <c r="J87" s="20" t="n">
        <f aca="false">$H87*$I87</f>
        <v>10886.3181818182</v>
      </c>
      <c r="K87" s="26" t="str">
        <f aca="false">INDEX(02_Massnahmenkatalog!$H:$H,MATCH($B87,02_Massnahmenkatalog!$B:$B,0))</f>
        <v>Nein</v>
      </c>
      <c r="L87" s="15"/>
      <c r="M87" s="15" t="n">
        <v>3</v>
      </c>
      <c r="N87" s="26" t="n">
        <f aca="false">INDEX(02_Massnahmenkatalog!$G:$G,MATCH($B87,02_Massnahmenkatalog!$B:$B,0))</f>
        <v>25</v>
      </c>
      <c r="O87" s="29" t="n">
        <f aca="false">INDEX(04_Nutzungsdauern!$C:$C,MATCH($M87,04_Nutzungsdauern!$B:$B,0))</f>
        <v>0.7</v>
      </c>
      <c r="P87" s="18" t="n">
        <f aca="false">$N87*$O87-(A_Jahr-IF($L87="",Obj_Baujahr,$L87))</f>
        <v>-26.5</v>
      </c>
      <c r="Q87" s="18" t="n">
        <f aca="false">A_Jahr+MAX(0,$P87)</f>
        <v>2026</v>
      </c>
      <c r="R87" s="15" t="s">
        <v>601</v>
      </c>
      <c r="S87" s="18" t="str">
        <f aca="false">IF($R87="Automatik",IF($Q87&lt;=A_Jahr+A_Horizont,"JA","NEIN"),IF(OR($R87="Sofort",$R87="In Horizont"),"JA","NEIN"))</f>
        <v>JA</v>
      </c>
      <c r="T87" s="16" t="n">
        <v>0</v>
      </c>
      <c r="U87" s="20" t="n">
        <f aca="false">IF(AND($K87="Ja",$S87="JA"),$J87*(1-$T87),0)</f>
        <v>0</v>
      </c>
      <c r="V87" s="30" t="str">
        <f aca="false">IF(AND($S87="NEIN",OR(AND(Obj_Zielstandard="EH 55 EE",$X87="Ja"),AND(Obj_Zielstandard="EH 40 EE",$Y87="Ja"))),"Pflicht bei Zielstandard, aber nicht aufgenommen","")</f>
        <v/>
      </c>
      <c r="W87" s="15"/>
      <c r="X87" s="26" t="str">
        <f aca="false">INDEX(02_Massnahmenkatalog!$J:$J,MATCH($B87,02_Massnahmenkatalog!$B:$B,0))</f>
        <v>Nein</v>
      </c>
      <c r="Y87" s="26" t="str">
        <f aca="false">INDEX(02_Massnahmenkatalog!$K:$K,MATCH($B87,02_Massnahmenkatalog!$B:$B,0))</f>
        <v>Nein</v>
      </c>
    </row>
    <row r="88" customFormat="false" ht="23.85" hidden="false" customHeight="false" outlineLevel="0" collapsed="false">
      <c r="B88" s="18" t="s">
        <v>361</v>
      </c>
      <c r="C88" s="26" t="str">
        <f aca="false">INDEX(02_Massnahmenkatalog!$C:$C,MATCH($B88,02_Massnahmenkatalog!$B:$B,0))</f>
        <v>Klimaneutralität</v>
      </c>
      <c r="D88" s="27" t="str">
        <f aca="false">INDEX(02_Massnahmenkatalog!$D:$D,MATCH($B88,02_Massnahmenkatalog!$B:$B,0))</f>
        <v>Batteriespeicher</v>
      </c>
      <c r="E88" s="26" t="str">
        <f aca="false">INDEX(02_Massnahmenkatalog!$E:$E,MATCH($B88,02_Massnahmenkatalog!$B:$B,0))</f>
        <v>€/kWh</v>
      </c>
      <c r="F88" s="18" t="n">
        <f aca="false">Obj_PV_SpeicherKWh</f>
        <v>8.15454545454545</v>
      </c>
      <c r="G88" s="15"/>
      <c r="H88" s="18" t="n">
        <f aca="false">IF($G88="",$F88,$G88)</f>
        <v>8.15454545454545</v>
      </c>
      <c r="I88" s="28" t="n">
        <f aca="false">INDEX(02_Massnahmenkatalog!$F:$F,MATCH($B88,02_Massnahmenkatalog!$B:$B,0))</f>
        <v>350</v>
      </c>
      <c r="J88" s="20" t="n">
        <f aca="false">$H88*$I88</f>
        <v>2854.09090909091</v>
      </c>
      <c r="K88" s="26" t="str">
        <f aca="false">INDEX(02_Massnahmenkatalog!$H:$H,MATCH($B88,02_Massnahmenkatalog!$B:$B,0))</f>
        <v>Nein</v>
      </c>
      <c r="L88" s="15"/>
      <c r="M88" s="15" t="n">
        <v>3</v>
      </c>
      <c r="N88" s="26" t="n">
        <f aca="false">INDEX(02_Massnahmenkatalog!$G:$G,MATCH($B88,02_Massnahmenkatalog!$B:$B,0))</f>
        <v>18</v>
      </c>
      <c r="O88" s="29" t="n">
        <f aca="false">INDEX(04_Nutzungsdauern!$C:$C,MATCH($M88,04_Nutzungsdauern!$B:$B,0))</f>
        <v>0.7</v>
      </c>
      <c r="P88" s="18" t="n">
        <f aca="false">$N88*$O88-(A_Jahr-IF($L88="",Obj_Baujahr,$L88))</f>
        <v>-31.4</v>
      </c>
      <c r="Q88" s="18" t="n">
        <f aca="false">A_Jahr+MAX(0,$P88)</f>
        <v>2026</v>
      </c>
      <c r="R88" s="15" t="s">
        <v>601</v>
      </c>
      <c r="S88" s="18" t="str">
        <f aca="false">IF($R88="Automatik",IF($Q88&lt;=A_Jahr+A_Horizont,"JA","NEIN"),IF(OR($R88="Sofort",$R88="In Horizont"),"JA","NEIN"))</f>
        <v>JA</v>
      </c>
      <c r="T88" s="16" t="n">
        <v>0</v>
      </c>
      <c r="U88" s="20" t="n">
        <f aca="false">IF(AND($K88="Ja",$S88="JA"),$J88*(1-$T88),0)</f>
        <v>0</v>
      </c>
      <c r="V88" s="30" t="str">
        <f aca="false">IF(AND($S88="NEIN",OR(AND(Obj_Zielstandard="EH 55 EE",$X88="Ja"),AND(Obj_Zielstandard="EH 40 EE",$Y88="Ja"))),"Pflicht bei Zielstandard, aber nicht aufgenommen","")</f>
        <v/>
      </c>
      <c r="W88" s="15"/>
      <c r="X88" s="26" t="str">
        <f aca="false">INDEX(02_Massnahmenkatalog!$J:$J,MATCH($B88,02_Massnahmenkatalog!$B:$B,0))</f>
        <v>Nein</v>
      </c>
      <c r="Y88" s="26" t="str">
        <f aca="false">INDEX(02_Massnahmenkatalog!$K:$K,MATCH($B88,02_Massnahmenkatalog!$B:$B,0))</f>
        <v>Nein</v>
      </c>
    </row>
    <row r="89" customFormat="false" ht="57.45" hidden="false" customHeight="false" outlineLevel="0" collapsed="false">
      <c r="B89" s="18" t="s">
        <v>364</v>
      </c>
      <c r="C89" s="26" t="str">
        <f aca="false">INDEX(02_Massnahmenkatalog!$C:$C,MATCH($B89,02_Massnahmenkatalog!$B:$B,0))</f>
        <v>Klimaneutralität</v>
      </c>
      <c r="D89" s="27" t="str">
        <f aca="false">INDEX(02_Massnahmenkatalog!$D:$D,MATCH($B89,02_Massnahmenkatalog!$B:$B,0))</f>
        <v>Energiemanagementsystem/Wechselrichter-Aufpreis</v>
      </c>
      <c r="E89" s="26" t="str">
        <f aca="false">INDEX(02_Massnahmenkatalog!$E:$E,MATCH($B89,02_Massnahmenkatalog!$B:$B,0))</f>
        <v>€ pauschal</v>
      </c>
      <c r="F89" s="18" t="n">
        <f aca="false">1</f>
        <v>1</v>
      </c>
      <c r="G89" s="15"/>
      <c r="H89" s="18" t="n">
        <f aca="false">IF($G89="",$F89,$G89)</f>
        <v>1</v>
      </c>
      <c r="I89" s="28" t="n">
        <f aca="false">INDEX(02_Massnahmenkatalog!$F:$F,MATCH($B89,02_Massnahmenkatalog!$B:$B,0))</f>
        <v>1500</v>
      </c>
      <c r="J89" s="20" t="n">
        <f aca="false">$H89*$I89</f>
        <v>1500</v>
      </c>
      <c r="K89" s="26" t="str">
        <f aca="false">INDEX(02_Massnahmenkatalog!$H:$H,MATCH($B89,02_Massnahmenkatalog!$B:$B,0))</f>
        <v>Ja</v>
      </c>
      <c r="L89" s="15"/>
      <c r="M89" s="15" t="n">
        <v>3</v>
      </c>
      <c r="N89" s="26" t="n">
        <f aca="false">INDEX(02_Massnahmenkatalog!$G:$G,MATCH($B89,02_Massnahmenkatalog!$B:$B,0))</f>
        <v>15</v>
      </c>
      <c r="O89" s="29" t="n">
        <f aca="false">INDEX(04_Nutzungsdauern!$C:$C,MATCH($M89,04_Nutzungsdauern!$B:$B,0))</f>
        <v>0.7</v>
      </c>
      <c r="P89" s="18" t="n">
        <f aca="false">$N89*$O89-(A_Jahr-IF($L89="",Obj_Baujahr,$L89))</f>
        <v>-33.5</v>
      </c>
      <c r="Q89" s="18" t="n">
        <f aca="false">A_Jahr+MAX(0,$P89)</f>
        <v>2026</v>
      </c>
      <c r="R89" s="15" t="s">
        <v>601</v>
      </c>
      <c r="S89" s="18" t="str">
        <f aca="false">IF($R89="Automatik",IF($Q89&lt;=A_Jahr+A_Horizont,"JA","NEIN"),IF(OR($R89="Sofort",$R89="In Horizont"),"JA","NEIN"))</f>
        <v>JA</v>
      </c>
      <c r="T89" s="16" t="n">
        <v>0</v>
      </c>
      <c r="U89" s="20" t="n">
        <f aca="false">IF(AND($K89="Ja",$S89="JA"),$J89*(1-$T89),0)</f>
        <v>1500</v>
      </c>
      <c r="V89" s="30" t="str">
        <f aca="false">IF(AND($S89="NEIN",OR(AND(Obj_Zielstandard="EH 55 EE",$X89="Ja"),AND(Obj_Zielstandard="EH 40 EE",$Y89="Ja"))),"Pflicht bei Zielstandard, aber nicht aufgenommen","")</f>
        <v/>
      </c>
      <c r="W89" s="15"/>
      <c r="X89" s="26" t="str">
        <f aca="false">INDEX(02_Massnahmenkatalog!$J:$J,MATCH($B89,02_Massnahmenkatalog!$B:$B,0))</f>
        <v>Nein</v>
      </c>
      <c r="Y89" s="26" t="str">
        <f aca="false">INDEX(02_Massnahmenkatalog!$K:$K,MATCH($B89,02_Massnahmenkatalog!$B:$B,0))</f>
        <v>Nein</v>
      </c>
    </row>
    <row r="90" customFormat="false" ht="35.05" hidden="false" customHeight="false" outlineLevel="0" collapsed="false">
      <c r="B90" s="18" t="s">
        <v>368</v>
      </c>
      <c r="C90" s="26" t="str">
        <f aca="false">INDEX(02_Massnahmenkatalog!$C:$C,MATCH($B90,02_Massnahmenkatalog!$B:$B,0))</f>
        <v>Klimaneutralität</v>
      </c>
      <c r="D90" s="27" t="str">
        <f aca="false">INDEX(02_Massnahmenkatalog!$D:$D,MATCH($B90,02_Massnahmenkatalog!$B:$B,0))</f>
        <v>Notstrom-/Ersatzstromfähigkeit</v>
      </c>
      <c r="E90" s="26" t="str">
        <f aca="false">INDEX(02_Massnahmenkatalog!$E:$E,MATCH($B90,02_Massnahmenkatalog!$B:$B,0))</f>
        <v>€ pauschal</v>
      </c>
      <c r="F90" s="18" t="n">
        <f aca="false">0</f>
        <v>0</v>
      </c>
      <c r="G90" s="15"/>
      <c r="H90" s="18" t="n">
        <f aca="false">IF($G90="",$F90,$G90)</f>
        <v>0</v>
      </c>
      <c r="I90" s="28" t="n">
        <f aca="false">INDEX(02_Massnahmenkatalog!$F:$F,MATCH($B90,02_Massnahmenkatalog!$B:$B,0))</f>
        <v>2500</v>
      </c>
      <c r="J90" s="20" t="n">
        <f aca="false">$H90*$I90</f>
        <v>0</v>
      </c>
      <c r="K90" s="26" t="str">
        <f aca="false">INDEX(02_Massnahmenkatalog!$H:$H,MATCH($B90,02_Massnahmenkatalog!$B:$B,0))</f>
        <v>Nein</v>
      </c>
      <c r="L90" s="15"/>
      <c r="M90" s="15" t="n">
        <v>3</v>
      </c>
      <c r="N90" s="26" t="n">
        <f aca="false">INDEX(02_Massnahmenkatalog!$G:$G,MATCH($B90,02_Massnahmenkatalog!$B:$B,0))</f>
        <v>15</v>
      </c>
      <c r="O90" s="29" t="n">
        <f aca="false">INDEX(04_Nutzungsdauern!$C:$C,MATCH($M90,04_Nutzungsdauern!$B:$B,0))</f>
        <v>0.7</v>
      </c>
      <c r="P90" s="18" t="n">
        <f aca="false">$N90*$O90-(A_Jahr-IF($L90="",Obj_Baujahr,$L90))</f>
        <v>-33.5</v>
      </c>
      <c r="Q90" s="18" t="n">
        <f aca="false">A_Jahr+MAX(0,$P90)</f>
        <v>2026</v>
      </c>
      <c r="R90" s="15" t="s">
        <v>601</v>
      </c>
      <c r="S90" s="18" t="str">
        <f aca="false">IF($R90="Automatik",IF($Q90&lt;=A_Jahr+A_Horizont,"JA","NEIN"),IF(OR($R90="Sofort",$R90="In Horizont"),"JA","NEIN"))</f>
        <v>JA</v>
      </c>
      <c r="T90" s="16" t="n">
        <v>0</v>
      </c>
      <c r="U90" s="20" t="n">
        <f aca="false">IF(AND($K90="Ja",$S90="JA"),$J90*(1-$T90),0)</f>
        <v>0</v>
      </c>
      <c r="V90" s="30" t="str">
        <f aca="false">IF(AND($S90="NEIN",OR(AND(Obj_Zielstandard="EH 55 EE",$X90="Ja"),AND(Obj_Zielstandard="EH 40 EE",$Y90="Ja"))),"Pflicht bei Zielstandard, aber nicht aufgenommen","")</f>
        <v/>
      </c>
      <c r="W90" s="15"/>
      <c r="X90" s="26" t="str">
        <f aca="false">INDEX(02_Massnahmenkatalog!$J:$J,MATCH($B90,02_Massnahmenkatalog!$B:$B,0))</f>
        <v>Nein</v>
      </c>
      <c r="Y90" s="26" t="str">
        <f aca="false">INDEX(02_Massnahmenkatalog!$K:$K,MATCH($B90,02_Massnahmenkatalog!$B:$B,0))</f>
        <v>Nein</v>
      </c>
    </row>
    <row r="91" customFormat="false" ht="68.65" hidden="false" customHeight="false" outlineLevel="0" collapsed="false">
      <c r="B91" s="18" t="s">
        <v>371</v>
      </c>
      <c r="C91" s="26" t="str">
        <f aca="false">INDEX(02_Massnahmenkatalog!$C:$C,MATCH($B91,02_Massnahmenkatalog!$B:$B,0))</f>
        <v>Smart Home</v>
      </c>
      <c r="D91" s="27" t="str">
        <f aca="false">INDEX(02_Massnahmenkatalog!$D:$D,MATCH($B91,02_Massnahmenkatalog!$B:$B,0))</f>
        <v>Stufe 1 – Netzwerk-Basis (CAT7, Patchfeld, PoE-Switch, APs)</v>
      </c>
      <c r="E91" s="26" t="str">
        <f aca="false">INDEX(02_Massnahmenkatalog!$E:$E,MATCH($B91,02_Massnahmenkatalog!$B:$B,0))</f>
        <v>€/Dose</v>
      </c>
      <c r="F91" s="18" t="n">
        <f aca="false">Obj_AnzRaeume*1.5</f>
        <v>12</v>
      </c>
      <c r="G91" s="15"/>
      <c r="H91" s="18" t="n">
        <f aca="false">IF($G91="",$F91,$G91)</f>
        <v>12</v>
      </c>
      <c r="I91" s="28" t="n">
        <f aca="false">INDEX(02_Massnahmenkatalog!$F:$F,MATCH($B91,02_Massnahmenkatalog!$B:$B,0))</f>
        <v>250</v>
      </c>
      <c r="J91" s="20" t="n">
        <f aca="false">$H91*$I91</f>
        <v>3000</v>
      </c>
      <c r="K91" s="26" t="str">
        <f aca="false">INDEX(02_Massnahmenkatalog!$H:$H,MATCH($B91,02_Massnahmenkatalog!$B:$B,0))</f>
        <v>Nein</v>
      </c>
      <c r="L91" s="15"/>
      <c r="M91" s="15" t="n">
        <v>3</v>
      </c>
      <c r="N91" s="26" t="n">
        <f aca="false">INDEX(02_Massnahmenkatalog!$G:$G,MATCH($B91,02_Massnahmenkatalog!$B:$B,0))</f>
        <v>25</v>
      </c>
      <c r="O91" s="29" t="n">
        <f aca="false">INDEX(04_Nutzungsdauern!$C:$C,MATCH($M91,04_Nutzungsdauern!$B:$B,0))</f>
        <v>0.7</v>
      </c>
      <c r="P91" s="18" t="n">
        <f aca="false">$N91*$O91-(A_Jahr-IF($L91="",Obj_Baujahr,$L91))</f>
        <v>-26.5</v>
      </c>
      <c r="Q91" s="18" t="n">
        <f aca="false">A_Jahr+MAX(0,$P91)</f>
        <v>2026</v>
      </c>
      <c r="R91" s="15" t="s">
        <v>601</v>
      </c>
      <c r="S91" s="18" t="str">
        <f aca="false">IF($R91="Automatik",IF($Q91&lt;=A_Jahr+A_Horizont,"JA","NEIN"),IF(OR($R91="Sofort",$R91="In Horizont"),"JA","NEIN"))</f>
        <v>JA</v>
      </c>
      <c r="T91" s="16" t="n">
        <v>0</v>
      </c>
      <c r="U91" s="20" t="n">
        <f aca="false">IF(AND($K91="Ja",$S91="JA"),$J91*(1-$T91),0)</f>
        <v>0</v>
      </c>
      <c r="V91" s="30" t="str">
        <f aca="false">IF(AND($S91="NEIN",OR(AND(Obj_Zielstandard="EH 55 EE",$X91="Ja"),AND(Obj_Zielstandard="EH 40 EE",$Y91="Ja"))),"Pflicht bei Zielstandard, aber nicht aufgenommen","")</f>
        <v/>
      </c>
      <c r="W91" s="15"/>
      <c r="X91" s="26" t="str">
        <f aca="false">INDEX(02_Massnahmenkatalog!$J:$J,MATCH($B91,02_Massnahmenkatalog!$B:$B,0))</f>
        <v>Nein</v>
      </c>
      <c r="Y91" s="26" t="str">
        <f aca="false">INDEX(02_Massnahmenkatalog!$K:$K,MATCH($B91,02_Massnahmenkatalog!$B:$B,0))</f>
        <v>Nein</v>
      </c>
    </row>
    <row r="92" customFormat="false" ht="57.45" hidden="false" customHeight="false" outlineLevel="0" collapsed="false">
      <c r="B92" s="18" t="s">
        <v>376</v>
      </c>
      <c r="C92" s="26" t="str">
        <f aca="false">INDEX(02_Massnahmenkatalog!$C:$C,MATCH($B92,02_Massnahmenkatalog!$B:$B,0))</f>
        <v>Smart Home</v>
      </c>
      <c r="D92" s="27" t="str">
        <f aca="false">INDEX(02_Massnahmenkatalog!$D:$D,MATCH($B92,02_Massnahmenkatalog!$B:$B,0))</f>
        <v>Stufe 2 – KNX Basis (Licht, Rollladen, Heizungsaktorik, Server)</v>
      </c>
      <c r="E92" s="26" t="str">
        <f aca="false">INDEX(02_Massnahmenkatalog!$E:$E,MATCH($B92,02_Massnahmenkatalog!$B:$B,0))</f>
        <v>€/m² WF</v>
      </c>
      <c r="F92" s="18" t="n">
        <f aca="false">0</f>
        <v>0</v>
      </c>
      <c r="G92" s="15"/>
      <c r="H92" s="18" t="n">
        <f aca="false">IF($G92="",$F92,$G92)</f>
        <v>0</v>
      </c>
      <c r="I92" s="28" t="n">
        <f aca="false">INDEX(02_Massnahmenkatalog!$F:$F,MATCH($B92,02_Massnahmenkatalog!$B:$B,0))</f>
        <v>130</v>
      </c>
      <c r="J92" s="20" t="n">
        <f aca="false">$H92*$I92</f>
        <v>0</v>
      </c>
      <c r="K92" s="26" t="str">
        <f aca="false">INDEX(02_Massnahmenkatalog!$H:$H,MATCH($B92,02_Massnahmenkatalog!$B:$B,0))</f>
        <v>Nein</v>
      </c>
      <c r="L92" s="15"/>
      <c r="M92" s="15" t="n">
        <v>3</v>
      </c>
      <c r="N92" s="26" t="n">
        <f aca="false">INDEX(02_Massnahmenkatalog!$G:$G,MATCH($B92,02_Massnahmenkatalog!$B:$B,0))</f>
        <v>25</v>
      </c>
      <c r="O92" s="29" t="n">
        <f aca="false">INDEX(04_Nutzungsdauern!$C:$C,MATCH($M92,04_Nutzungsdauern!$B:$B,0))</f>
        <v>0.7</v>
      </c>
      <c r="P92" s="18" t="n">
        <f aca="false">$N92*$O92-(A_Jahr-IF($L92="",Obj_Baujahr,$L92))</f>
        <v>-26.5</v>
      </c>
      <c r="Q92" s="18" t="n">
        <f aca="false">A_Jahr+MAX(0,$P92)</f>
        <v>2026</v>
      </c>
      <c r="R92" s="15" t="s">
        <v>601</v>
      </c>
      <c r="S92" s="18" t="str">
        <f aca="false">IF($R92="Automatik",IF($Q92&lt;=A_Jahr+A_Horizont,"JA","NEIN"),IF(OR($R92="Sofort",$R92="In Horizont"),"JA","NEIN"))</f>
        <v>JA</v>
      </c>
      <c r="T92" s="16" t="n">
        <v>0</v>
      </c>
      <c r="U92" s="20" t="n">
        <f aca="false">IF(AND($K92="Ja",$S92="JA"),$J92*(1-$T92),0)</f>
        <v>0</v>
      </c>
      <c r="V92" s="30" t="str">
        <f aca="false">IF(AND($S92="NEIN",OR(AND(Obj_Zielstandard="EH 55 EE",$X92="Ja"),AND(Obj_Zielstandard="EH 40 EE",$Y92="Ja"))),"Pflicht bei Zielstandard, aber nicht aufgenommen","")</f>
        <v/>
      </c>
      <c r="W92" s="15"/>
      <c r="X92" s="26" t="str">
        <f aca="false">INDEX(02_Massnahmenkatalog!$J:$J,MATCH($B92,02_Massnahmenkatalog!$B:$B,0))</f>
        <v>Nein</v>
      </c>
      <c r="Y92" s="26" t="str">
        <f aca="false">INDEX(02_Massnahmenkatalog!$K:$K,MATCH($B92,02_Massnahmenkatalog!$B:$B,0))</f>
        <v>Nein</v>
      </c>
    </row>
    <row r="93" customFormat="false" ht="46.25" hidden="false" customHeight="false" outlineLevel="0" collapsed="false">
      <c r="B93" s="18" t="s">
        <v>380</v>
      </c>
      <c r="C93" s="26" t="str">
        <f aca="false">INDEX(02_Massnahmenkatalog!$C:$C,MATCH($B93,02_Massnahmenkatalog!$B:$B,0))</f>
        <v>Smart Home</v>
      </c>
      <c r="D93" s="27" t="str">
        <f aca="false">INDEX(02_Massnahmenkatalog!$D:$D,MATCH($B93,02_Massnahmenkatalog!$B:$B,0))</f>
        <v>Stufe 3 – KNX Vollausbau (Aufschlag auf Stufe 2)</v>
      </c>
      <c r="E93" s="26" t="str">
        <f aca="false">INDEX(02_Massnahmenkatalog!$E:$E,MATCH($B93,02_Massnahmenkatalog!$B:$B,0))</f>
        <v>€/m² WF Aufschlag</v>
      </c>
      <c r="F93" s="18" t="n">
        <f aca="false">0</f>
        <v>0</v>
      </c>
      <c r="G93" s="15"/>
      <c r="H93" s="18" t="n">
        <f aca="false">IF($G93="",$F93,$G93)</f>
        <v>0</v>
      </c>
      <c r="I93" s="28" t="n">
        <f aca="false">INDEX(02_Massnahmenkatalog!$F:$F,MATCH($B93,02_Massnahmenkatalog!$B:$B,0))</f>
        <v>100</v>
      </c>
      <c r="J93" s="20" t="n">
        <f aca="false">$H93*$I93</f>
        <v>0</v>
      </c>
      <c r="K93" s="26" t="str">
        <f aca="false">INDEX(02_Massnahmenkatalog!$H:$H,MATCH($B93,02_Massnahmenkatalog!$B:$B,0))</f>
        <v>Nein</v>
      </c>
      <c r="L93" s="15"/>
      <c r="M93" s="15" t="n">
        <v>3</v>
      </c>
      <c r="N93" s="26" t="n">
        <f aca="false">INDEX(02_Massnahmenkatalog!$G:$G,MATCH($B93,02_Massnahmenkatalog!$B:$B,0))</f>
        <v>25</v>
      </c>
      <c r="O93" s="29" t="n">
        <f aca="false">INDEX(04_Nutzungsdauern!$C:$C,MATCH($M93,04_Nutzungsdauern!$B:$B,0))</f>
        <v>0.7</v>
      </c>
      <c r="P93" s="18" t="n">
        <f aca="false">$N93*$O93-(A_Jahr-IF($L93="",Obj_Baujahr,$L93))</f>
        <v>-26.5</v>
      </c>
      <c r="Q93" s="18" t="n">
        <f aca="false">A_Jahr+MAX(0,$P93)</f>
        <v>2026</v>
      </c>
      <c r="R93" s="15" t="s">
        <v>601</v>
      </c>
      <c r="S93" s="18" t="str">
        <f aca="false">IF($R93="Automatik",IF($Q93&lt;=A_Jahr+A_Horizont,"JA","NEIN"),IF(OR($R93="Sofort",$R93="In Horizont"),"JA","NEIN"))</f>
        <v>JA</v>
      </c>
      <c r="T93" s="16" t="n">
        <v>0</v>
      </c>
      <c r="U93" s="20" t="n">
        <f aca="false">IF(AND($K93="Ja",$S93="JA"),$J93*(1-$T93),0)</f>
        <v>0</v>
      </c>
      <c r="V93" s="30" t="str">
        <f aca="false">IF(AND($S93="NEIN",OR(AND(Obj_Zielstandard="EH 55 EE",$X93="Ja"),AND(Obj_Zielstandard="EH 40 EE",$Y93="Ja"))),"Pflicht bei Zielstandard, aber nicht aufgenommen","")</f>
        <v/>
      </c>
      <c r="W93" s="15"/>
      <c r="X93" s="26" t="str">
        <f aca="false">INDEX(02_Massnahmenkatalog!$J:$J,MATCH($B93,02_Massnahmenkatalog!$B:$B,0))</f>
        <v>Nein</v>
      </c>
      <c r="Y93" s="26" t="str">
        <f aca="false">INDEX(02_Massnahmenkatalog!$K:$K,MATCH($B93,02_Massnahmenkatalog!$B:$B,0))</f>
        <v>Nein</v>
      </c>
    </row>
    <row r="94" customFormat="false" ht="23.85" hidden="false" customHeight="false" outlineLevel="0" collapsed="false">
      <c r="B94" s="18" t="s">
        <v>385</v>
      </c>
      <c r="C94" s="26" t="str">
        <f aca="false">INDEX(02_Massnahmenkatalog!$C:$C,MATCH($B94,02_Massnahmenkatalog!$B:$B,0))</f>
        <v>Außenanlagen</v>
      </c>
      <c r="D94" s="27" t="str">
        <f aca="false">INDEX(02_Massnahmenkatalog!$D:$D,MATCH($B94,02_Massnahmenkatalog!$B:$B,0))</f>
        <v>Zufahrt pflastern</v>
      </c>
      <c r="E94" s="26" t="str">
        <f aca="false">INDEX(02_Massnahmenkatalog!$E:$E,MATCH($B94,02_Massnahmenkatalog!$B:$B,0))</f>
        <v>€/m²</v>
      </c>
      <c r="F94" s="18" t="n">
        <f aca="false">0</f>
        <v>0</v>
      </c>
      <c r="G94" s="15"/>
      <c r="H94" s="18" t="n">
        <f aca="false">IF($G94="",$F94,$G94)</f>
        <v>0</v>
      </c>
      <c r="I94" s="28" t="n">
        <f aca="false">INDEX(02_Massnahmenkatalog!$F:$F,MATCH($B94,02_Massnahmenkatalog!$B:$B,0))</f>
        <v>120</v>
      </c>
      <c r="J94" s="20" t="n">
        <f aca="false">$H94*$I94</f>
        <v>0</v>
      </c>
      <c r="K94" s="26" t="str">
        <f aca="false">INDEX(02_Massnahmenkatalog!$H:$H,MATCH($B94,02_Massnahmenkatalog!$B:$B,0))</f>
        <v>Nein</v>
      </c>
      <c r="L94" s="15"/>
      <c r="M94" s="15" t="n">
        <v>3</v>
      </c>
      <c r="N94" s="26" t="n">
        <f aca="false">INDEX(02_Massnahmenkatalog!$G:$G,MATCH($B94,02_Massnahmenkatalog!$B:$B,0))</f>
        <v>36</v>
      </c>
      <c r="O94" s="29" t="n">
        <f aca="false">INDEX(04_Nutzungsdauern!$C:$C,MATCH($M94,04_Nutzungsdauern!$B:$B,0))</f>
        <v>0.7</v>
      </c>
      <c r="P94" s="18" t="n">
        <f aca="false">$N94*$O94-(A_Jahr-IF($L94="",Obj_Baujahr,$L94))</f>
        <v>-18.8</v>
      </c>
      <c r="Q94" s="18" t="n">
        <f aca="false">A_Jahr+MAX(0,$P94)</f>
        <v>2026</v>
      </c>
      <c r="R94" s="15" t="s">
        <v>601</v>
      </c>
      <c r="S94" s="18" t="str">
        <f aca="false">IF($R94="Automatik",IF($Q94&lt;=A_Jahr+A_Horizont,"JA","NEIN"),IF(OR($R94="Sofort",$R94="In Horizont"),"JA","NEIN"))</f>
        <v>JA</v>
      </c>
      <c r="T94" s="16" t="n">
        <v>0</v>
      </c>
      <c r="U94" s="20" t="n">
        <f aca="false">IF(AND($K94="Ja",$S94="JA"),$J94*(1-$T94),0)</f>
        <v>0</v>
      </c>
      <c r="V94" s="30" t="str">
        <f aca="false">IF(AND($S94="NEIN",OR(AND(Obj_Zielstandard="EH 55 EE",$X94="Ja"),AND(Obj_Zielstandard="EH 40 EE",$Y94="Ja"))),"Pflicht bei Zielstandard, aber nicht aufgenommen","")</f>
        <v/>
      </c>
      <c r="W94" s="15"/>
      <c r="X94" s="26" t="str">
        <f aca="false">INDEX(02_Massnahmenkatalog!$J:$J,MATCH($B94,02_Massnahmenkatalog!$B:$B,0))</f>
        <v>Nein</v>
      </c>
      <c r="Y94" s="26" t="str">
        <f aca="false">INDEX(02_Massnahmenkatalog!$K:$K,MATCH($B94,02_Massnahmenkatalog!$B:$B,0))</f>
        <v>Nein</v>
      </c>
    </row>
    <row r="95" customFormat="false" ht="15" hidden="false" customHeight="false" outlineLevel="0" collapsed="false">
      <c r="B95" s="18" t="s">
        <v>388</v>
      </c>
      <c r="C95" s="26" t="str">
        <f aca="false">INDEX(02_Massnahmenkatalog!$C:$C,MATCH($B95,02_Massnahmenkatalog!$B:$B,0))</f>
        <v>Außenanlagen</v>
      </c>
      <c r="D95" s="27" t="str">
        <f aca="false">INDEX(02_Massnahmenkatalog!$D:$D,MATCH($B95,02_Massnahmenkatalog!$B:$B,0))</f>
        <v>Terrasse</v>
      </c>
      <c r="E95" s="26" t="str">
        <f aca="false">INDEX(02_Massnahmenkatalog!$E:$E,MATCH($B95,02_Massnahmenkatalog!$B:$B,0))</f>
        <v>€/m²</v>
      </c>
      <c r="F95" s="18" t="n">
        <f aca="false">0</f>
        <v>0</v>
      </c>
      <c r="G95" s="15"/>
      <c r="H95" s="18" t="n">
        <f aca="false">IF($G95="",$F95,$G95)</f>
        <v>0</v>
      </c>
      <c r="I95" s="28" t="n">
        <f aca="false">INDEX(02_Massnahmenkatalog!$F:$F,MATCH($B95,02_Massnahmenkatalog!$B:$B,0))</f>
        <v>110</v>
      </c>
      <c r="J95" s="20" t="n">
        <f aca="false">$H95*$I95</f>
        <v>0</v>
      </c>
      <c r="K95" s="26" t="str">
        <f aca="false">INDEX(02_Massnahmenkatalog!$H:$H,MATCH($B95,02_Massnahmenkatalog!$B:$B,0))</f>
        <v>Nein</v>
      </c>
      <c r="L95" s="15"/>
      <c r="M95" s="15" t="n">
        <v>3</v>
      </c>
      <c r="N95" s="26" t="n">
        <f aca="false">INDEX(02_Massnahmenkatalog!$G:$G,MATCH($B95,02_Massnahmenkatalog!$B:$B,0))</f>
        <v>30</v>
      </c>
      <c r="O95" s="29" t="n">
        <f aca="false">INDEX(04_Nutzungsdauern!$C:$C,MATCH($M95,04_Nutzungsdauern!$B:$B,0))</f>
        <v>0.7</v>
      </c>
      <c r="P95" s="18" t="n">
        <f aca="false">$N95*$O95-(A_Jahr-IF($L95="",Obj_Baujahr,$L95))</f>
        <v>-23</v>
      </c>
      <c r="Q95" s="18" t="n">
        <f aca="false">A_Jahr+MAX(0,$P95)</f>
        <v>2026</v>
      </c>
      <c r="R95" s="15" t="s">
        <v>601</v>
      </c>
      <c r="S95" s="18" t="str">
        <f aca="false">IF($R95="Automatik",IF($Q95&lt;=A_Jahr+A_Horizont,"JA","NEIN"),IF(OR($R95="Sofort",$R95="In Horizont"),"JA","NEIN"))</f>
        <v>JA</v>
      </c>
      <c r="T95" s="16" t="n">
        <v>0</v>
      </c>
      <c r="U95" s="20" t="n">
        <f aca="false">IF(AND($K95="Ja",$S95="JA"),$J95*(1-$T95),0)</f>
        <v>0</v>
      </c>
      <c r="V95" s="30" t="str">
        <f aca="false">IF(AND($S95="NEIN",OR(AND(Obj_Zielstandard="EH 55 EE",$X95="Ja"),AND(Obj_Zielstandard="EH 40 EE",$Y95="Ja"))),"Pflicht bei Zielstandard, aber nicht aufgenommen","")</f>
        <v/>
      </c>
      <c r="W95" s="15"/>
      <c r="X95" s="26" t="str">
        <f aca="false">INDEX(02_Massnahmenkatalog!$J:$J,MATCH($B95,02_Massnahmenkatalog!$B:$B,0))</f>
        <v>Nein</v>
      </c>
      <c r="Y95" s="26" t="str">
        <f aca="false">INDEX(02_Massnahmenkatalog!$K:$K,MATCH($B95,02_Massnahmenkatalog!$B:$B,0))</f>
        <v>Nein</v>
      </c>
    </row>
    <row r="96" customFormat="false" ht="15" hidden="false" customHeight="false" outlineLevel="0" collapsed="false">
      <c r="B96" s="18" t="s">
        <v>390</v>
      </c>
      <c r="C96" s="26" t="str">
        <f aca="false">INDEX(02_Massnahmenkatalog!$C:$C,MATCH($B96,02_Massnahmenkatalog!$B:$B,0))</f>
        <v>Außenanlagen</v>
      </c>
      <c r="D96" s="27" t="str">
        <f aca="false">INDEX(02_Massnahmenkatalog!$D:$D,MATCH($B96,02_Massnahmenkatalog!$B:$B,0))</f>
        <v>Zaun</v>
      </c>
      <c r="E96" s="26" t="str">
        <f aca="false">INDEX(02_Massnahmenkatalog!$E:$E,MATCH($B96,02_Massnahmenkatalog!$B:$B,0))</f>
        <v>€/lfm</v>
      </c>
      <c r="F96" s="18" t="n">
        <f aca="false">0</f>
        <v>0</v>
      </c>
      <c r="G96" s="15"/>
      <c r="H96" s="18" t="n">
        <f aca="false">IF($G96="",$F96,$G96)</f>
        <v>0</v>
      </c>
      <c r="I96" s="28" t="n">
        <f aca="false">INDEX(02_Massnahmenkatalog!$F:$F,MATCH($B96,02_Massnahmenkatalog!$B:$B,0))</f>
        <v>60</v>
      </c>
      <c r="J96" s="20" t="n">
        <f aca="false">$H96*$I96</f>
        <v>0</v>
      </c>
      <c r="K96" s="26" t="str">
        <f aca="false">INDEX(02_Massnahmenkatalog!$H:$H,MATCH($B96,02_Massnahmenkatalog!$B:$B,0))</f>
        <v>Nein</v>
      </c>
      <c r="L96" s="15"/>
      <c r="M96" s="15" t="n">
        <v>3</v>
      </c>
      <c r="N96" s="26" t="n">
        <f aca="false">INDEX(02_Massnahmenkatalog!$G:$G,MATCH($B96,02_Massnahmenkatalog!$B:$B,0))</f>
        <v>25</v>
      </c>
      <c r="O96" s="29" t="n">
        <f aca="false">INDEX(04_Nutzungsdauern!$C:$C,MATCH($M96,04_Nutzungsdauern!$B:$B,0))</f>
        <v>0.7</v>
      </c>
      <c r="P96" s="18" t="n">
        <f aca="false">$N96*$O96-(A_Jahr-IF($L96="",Obj_Baujahr,$L96))</f>
        <v>-26.5</v>
      </c>
      <c r="Q96" s="18" t="n">
        <f aca="false">A_Jahr+MAX(0,$P96)</f>
        <v>2026</v>
      </c>
      <c r="R96" s="15" t="s">
        <v>601</v>
      </c>
      <c r="S96" s="18" t="str">
        <f aca="false">IF($R96="Automatik",IF($Q96&lt;=A_Jahr+A_Horizont,"JA","NEIN"),IF(OR($R96="Sofort",$R96="In Horizont"),"JA","NEIN"))</f>
        <v>JA</v>
      </c>
      <c r="T96" s="16" t="n">
        <v>0</v>
      </c>
      <c r="U96" s="20" t="n">
        <f aca="false">IF(AND($K96="Ja",$S96="JA"),$J96*(1-$T96),0)</f>
        <v>0</v>
      </c>
      <c r="V96" s="30" t="str">
        <f aca="false">IF(AND($S96="NEIN",OR(AND(Obj_Zielstandard="EH 55 EE",$X96="Ja"),AND(Obj_Zielstandard="EH 40 EE",$Y96="Ja"))),"Pflicht bei Zielstandard, aber nicht aufgenommen","")</f>
        <v/>
      </c>
      <c r="W96" s="15"/>
      <c r="X96" s="26" t="str">
        <f aca="false">INDEX(02_Massnahmenkatalog!$J:$J,MATCH($B96,02_Massnahmenkatalog!$B:$B,0))</f>
        <v>Nein</v>
      </c>
      <c r="Y96" s="26" t="str">
        <f aca="false">INDEX(02_Massnahmenkatalog!$K:$K,MATCH($B96,02_Massnahmenkatalog!$B:$B,0))</f>
        <v>Nein</v>
      </c>
    </row>
    <row r="97" customFormat="false" ht="23.85" hidden="false" customHeight="false" outlineLevel="0" collapsed="false">
      <c r="B97" s="18" t="s">
        <v>393</v>
      </c>
      <c r="C97" s="26" t="str">
        <f aca="false">INDEX(02_Massnahmenkatalog!$C:$C,MATCH($B97,02_Massnahmenkatalog!$B:$B,0))</f>
        <v>Außenanlagen</v>
      </c>
      <c r="D97" s="27" t="str">
        <f aca="false">INDEX(02_Massnahmenkatalog!$D:$D,MATCH($B97,02_Massnahmenkatalog!$B:$B,0))</f>
        <v>Garage/Carport</v>
      </c>
      <c r="E97" s="26" t="str">
        <f aca="false">INDEX(02_Massnahmenkatalog!$E:$E,MATCH($B97,02_Massnahmenkatalog!$B:$B,0))</f>
        <v>€ pauschal</v>
      </c>
      <c r="F97" s="18" t="n">
        <f aca="false">0</f>
        <v>0</v>
      </c>
      <c r="G97" s="15"/>
      <c r="H97" s="18" t="n">
        <f aca="false">IF($G97="",$F97,$G97)</f>
        <v>0</v>
      </c>
      <c r="I97" s="28" t="n">
        <f aca="false">INDEX(02_Massnahmenkatalog!$F:$F,MATCH($B97,02_Massnahmenkatalog!$B:$B,0))</f>
        <v>11000</v>
      </c>
      <c r="J97" s="20" t="n">
        <f aca="false">$H97*$I97</f>
        <v>0</v>
      </c>
      <c r="K97" s="26" t="str">
        <f aca="false">INDEX(02_Massnahmenkatalog!$H:$H,MATCH($B97,02_Massnahmenkatalog!$B:$B,0))</f>
        <v>Nein</v>
      </c>
      <c r="L97" s="15"/>
      <c r="M97" s="15" t="n">
        <v>3</v>
      </c>
      <c r="N97" s="26" t="n">
        <f aca="false">INDEX(02_Massnahmenkatalog!$G:$G,MATCH($B97,02_Massnahmenkatalog!$B:$B,0))</f>
        <v>40</v>
      </c>
      <c r="O97" s="29" t="n">
        <f aca="false">INDEX(04_Nutzungsdauern!$C:$C,MATCH($M97,04_Nutzungsdauern!$B:$B,0))</f>
        <v>0.7</v>
      </c>
      <c r="P97" s="18" t="n">
        <f aca="false">$N97*$O97-(A_Jahr-IF($L97="",Obj_Baujahr,$L97))</f>
        <v>-16</v>
      </c>
      <c r="Q97" s="18" t="n">
        <f aca="false">A_Jahr+MAX(0,$P97)</f>
        <v>2026</v>
      </c>
      <c r="R97" s="15" t="s">
        <v>601</v>
      </c>
      <c r="S97" s="18" t="str">
        <f aca="false">IF($R97="Automatik",IF($Q97&lt;=A_Jahr+A_Horizont,"JA","NEIN"),IF(OR($R97="Sofort",$R97="In Horizont"),"JA","NEIN"))</f>
        <v>JA</v>
      </c>
      <c r="T97" s="16" t="n">
        <v>0</v>
      </c>
      <c r="U97" s="20" t="n">
        <f aca="false">IF(AND($K97="Ja",$S97="JA"),$J97*(1-$T97),0)</f>
        <v>0</v>
      </c>
      <c r="V97" s="30" t="str">
        <f aca="false">IF(AND($S97="NEIN",OR(AND(Obj_Zielstandard="EH 55 EE",$X97="Ja"),AND(Obj_Zielstandard="EH 40 EE",$Y97="Ja"))),"Pflicht bei Zielstandard, aber nicht aufgenommen","")</f>
        <v/>
      </c>
      <c r="W97" s="15"/>
      <c r="X97" s="26" t="str">
        <f aca="false">INDEX(02_Massnahmenkatalog!$J:$J,MATCH($B97,02_Massnahmenkatalog!$B:$B,0))</f>
        <v>Nein</v>
      </c>
      <c r="Y97" s="26" t="str">
        <f aca="false">INDEX(02_Massnahmenkatalog!$K:$K,MATCH($B97,02_Massnahmenkatalog!$B:$B,0))</f>
        <v>Nein</v>
      </c>
    </row>
    <row r="98" customFormat="false" ht="23.85" hidden="false" customHeight="false" outlineLevel="0" collapsed="false">
      <c r="B98" s="18" t="s">
        <v>395</v>
      </c>
      <c r="C98" s="26" t="str">
        <f aca="false">INDEX(02_Massnahmenkatalog!$C:$C,MATCH($B98,02_Massnahmenkatalog!$B:$B,0))</f>
        <v>Weiche Kosten</v>
      </c>
      <c r="D98" s="27" t="str">
        <f aca="false">INDEX(02_Massnahmenkatalog!$D:$D,MATCH($B98,02_Massnahmenkatalog!$B:$B,0))</f>
        <v>Energieberatung + iSFP</v>
      </c>
      <c r="E98" s="26" t="str">
        <f aca="false">INDEX(02_Massnahmenkatalog!$E:$E,MATCH($B98,02_Massnahmenkatalog!$B:$B,0))</f>
        <v>€ pauschal</v>
      </c>
      <c r="F98" s="18" t="n">
        <f aca="false">1</f>
        <v>1</v>
      </c>
      <c r="G98" s="15"/>
      <c r="H98" s="18" t="n">
        <f aca="false">IF($G98="",$F98,$G98)</f>
        <v>1</v>
      </c>
      <c r="I98" s="28" t="n">
        <f aca="false">INDEX(02_Massnahmenkatalog!$F:$F,MATCH($B98,02_Massnahmenkatalog!$B:$B,0))</f>
        <v>1650</v>
      </c>
      <c r="J98" s="20" t="n">
        <f aca="false">$H98*$I98</f>
        <v>1650</v>
      </c>
      <c r="K98" s="26" t="str">
        <f aca="false">INDEX(02_Massnahmenkatalog!$H:$H,MATCH($B98,02_Massnahmenkatalog!$B:$B,0))</f>
        <v>Ja</v>
      </c>
      <c r="L98" s="15"/>
      <c r="M98" s="15" t="n">
        <v>3</v>
      </c>
      <c r="N98" s="26" t="n">
        <f aca="false">INDEX(02_Massnahmenkatalog!$G:$G,MATCH($B98,02_Massnahmenkatalog!$B:$B,0))</f>
        <v>0</v>
      </c>
      <c r="O98" s="29" t="n">
        <f aca="false">INDEX(04_Nutzungsdauern!$C:$C,MATCH($M98,04_Nutzungsdauern!$B:$B,0))</f>
        <v>0.7</v>
      </c>
      <c r="P98" s="18" t="n">
        <f aca="false">$N98*$O98-(A_Jahr-IF($L98="",Obj_Baujahr,$L98))</f>
        <v>-44</v>
      </c>
      <c r="Q98" s="18" t="n">
        <f aca="false">A_Jahr+MAX(0,$P98)</f>
        <v>2026</v>
      </c>
      <c r="R98" s="15" t="s">
        <v>601</v>
      </c>
      <c r="S98" s="18" t="str">
        <f aca="false">IF($R98="Automatik",IF($Q98&lt;=A_Jahr+A_Horizont,"JA","NEIN"),IF(OR($R98="Sofort",$R98="In Horizont"),"JA","NEIN"))</f>
        <v>JA</v>
      </c>
      <c r="T98" s="16" t="n">
        <v>0</v>
      </c>
      <c r="U98" s="20" t="n">
        <f aca="false">IF(AND($K98="Ja",$S98="JA"),$J98*(1-$T98),0)</f>
        <v>1650</v>
      </c>
      <c r="V98" s="30" t="str">
        <f aca="false">IF(AND($S98="NEIN",OR(AND(Obj_Zielstandard="EH 55 EE",$X98="Ja"),AND(Obj_Zielstandard="EH 40 EE",$Y98="Ja"))),"Pflicht bei Zielstandard, aber nicht aufgenommen","")</f>
        <v/>
      </c>
      <c r="W98" s="15"/>
      <c r="X98" s="26" t="str">
        <f aca="false">INDEX(02_Massnahmenkatalog!$J:$J,MATCH($B98,02_Massnahmenkatalog!$B:$B,0))</f>
        <v>Ja</v>
      </c>
      <c r="Y98" s="26" t="str">
        <f aca="false">INDEX(02_Massnahmenkatalog!$K:$K,MATCH($B98,02_Massnahmenkatalog!$B:$B,0))</f>
        <v>Ja</v>
      </c>
    </row>
    <row r="99" customFormat="false" ht="57.45" hidden="false" customHeight="false" outlineLevel="0" collapsed="false">
      <c r="B99" s="18" t="s">
        <v>400</v>
      </c>
      <c r="C99" s="26" t="str">
        <f aca="false">INDEX(02_Massnahmenkatalog!$C:$C,MATCH($B99,02_Massnahmenkatalog!$B:$B,0))</f>
        <v>Weiche Kosten</v>
      </c>
      <c r="D99" s="27" t="str">
        <f aca="false">INDEX(02_Massnahmenkatalog!$D:$D,MATCH($B99,02_Massnahmenkatalog!$B:$B,0))</f>
        <v>Fachplanung/Baubegleitung (EEE, Pflicht bei BEG-Antrag)</v>
      </c>
      <c r="E99" s="26" t="str">
        <f aca="false">INDEX(02_Massnahmenkatalog!$E:$E,MATCH($B99,02_Massnahmenkatalog!$B:$B,0))</f>
        <v>% der Sanierungssumme</v>
      </c>
      <c r="F99" s="18" t="n">
        <f aca="false">1</f>
        <v>1</v>
      </c>
      <c r="G99" s="15"/>
      <c r="H99" s="18" t="n">
        <f aca="false">IF($G99="",$F99,$G99)</f>
        <v>1</v>
      </c>
      <c r="I99" s="28" t="n">
        <f aca="false">0.03*(SUMIFS($J$51:$J$101,$C$51:$C$101,"Hülle")+SUMIFS($J$51:$J$101,$C$51:$C$101,"Anlagentechnik"))</f>
        <v>5683.7331439283</v>
      </c>
      <c r="J99" s="20" t="n">
        <f aca="false">$H99*$I99</f>
        <v>5683.7331439283</v>
      </c>
      <c r="K99" s="26" t="str">
        <f aca="false">INDEX(02_Massnahmenkatalog!$H:$H,MATCH($B99,02_Massnahmenkatalog!$B:$B,0))</f>
        <v>Ja</v>
      </c>
      <c r="L99" s="15"/>
      <c r="M99" s="15" t="n">
        <v>3</v>
      </c>
      <c r="N99" s="26" t="n">
        <f aca="false">INDEX(02_Massnahmenkatalog!$G:$G,MATCH($B99,02_Massnahmenkatalog!$B:$B,0))</f>
        <v>0</v>
      </c>
      <c r="O99" s="29" t="n">
        <f aca="false">INDEX(04_Nutzungsdauern!$C:$C,MATCH($M99,04_Nutzungsdauern!$B:$B,0))</f>
        <v>0.7</v>
      </c>
      <c r="P99" s="18" t="n">
        <f aca="false">$N99*$O99-(A_Jahr-IF($L99="",Obj_Baujahr,$L99))</f>
        <v>-44</v>
      </c>
      <c r="Q99" s="18" t="n">
        <f aca="false">A_Jahr+MAX(0,$P99)</f>
        <v>2026</v>
      </c>
      <c r="R99" s="15" t="s">
        <v>601</v>
      </c>
      <c r="S99" s="18" t="str">
        <f aca="false">IF($R99="Automatik",IF($Q99&lt;=A_Jahr+A_Horizont,"JA","NEIN"),IF(OR($R99="Sofort",$R99="In Horizont"),"JA","NEIN"))</f>
        <v>JA</v>
      </c>
      <c r="T99" s="16" t="n">
        <v>0</v>
      </c>
      <c r="U99" s="20" t="n">
        <f aca="false">IF(AND($K99="Ja",$S99="JA"),$J99*(1-$T99),0)</f>
        <v>5683.7331439283</v>
      </c>
      <c r="V99" s="30" t="str">
        <f aca="false">IF(AND($S99="NEIN",OR(AND(Obj_Zielstandard="EH 55 EE",$X99="Ja"),AND(Obj_Zielstandard="EH 40 EE",$Y99="Ja"))),"Pflicht bei Zielstandard, aber nicht aufgenommen","")</f>
        <v/>
      </c>
      <c r="W99" s="15"/>
      <c r="X99" s="26" t="str">
        <f aca="false">INDEX(02_Massnahmenkatalog!$J:$J,MATCH($B99,02_Massnahmenkatalog!$B:$B,0))</f>
        <v>Ja</v>
      </c>
      <c r="Y99" s="26" t="str">
        <f aca="false">INDEX(02_Massnahmenkatalog!$K:$K,MATCH($B99,02_Massnahmenkatalog!$B:$B,0))</f>
        <v>Ja</v>
      </c>
    </row>
    <row r="100" customFormat="false" ht="57.45" hidden="false" customHeight="false" outlineLevel="0" collapsed="false">
      <c r="B100" s="18" t="s">
        <v>405</v>
      </c>
      <c r="C100" s="26" t="str">
        <f aca="false">INDEX(02_Massnahmenkatalog!$C:$C,MATCH($B100,02_Massnahmenkatalog!$B:$B,0))</f>
        <v>Weiche Kosten</v>
      </c>
      <c r="D100" s="27" t="str">
        <f aca="false">INDEX(02_Massnahmenkatalog!$D:$D,MATCH($B100,02_Massnahmenkatalog!$B:$B,0))</f>
        <v>Statiker (nur bei Grundrissänderung/Dachausbau)</v>
      </c>
      <c r="E100" s="26" t="str">
        <f aca="false">INDEX(02_Massnahmenkatalog!$E:$E,MATCH($B100,02_Massnahmenkatalog!$B:$B,0))</f>
        <v>€ pauschal</v>
      </c>
      <c r="F100" s="18" t="n">
        <f aca="false">0</f>
        <v>0</v>
      </c>
      <c r="G100" s="15"/>
      <c r="H100" s="18" t="n">
        <f aca="false">IF($G100="",$F100,$G100)</f>
        <v>0</v>
      </c>
      <c r="I100" s="28" t="n">
        <f aca="false">INDEX(02_Massnahmenkatalog!$F:$F,MATCH($B100,02_Massnahmenkatalog!$B:$B,0))</f>
        <v>1900</v>
      </c>
      <c r="J100" s="20" t="n">
        <f aca="false">$H100*$I100</f>
        <v>0</v>
      </c>
      <c r="K100" s="26" t="str">
        <f aca="false">INDEX(02_Massnahmenkatalog!$H:$H,MATCH($B100,02_Massnahmenkatalog!$B:$B,0))</f>
        <v>Nein</v>
      </c>
      <c r="L100" s="15"/>
      <c r="M100" s="15" t="n">
        <v>3</v>
      </c>
      <c r="N100" s="26" t="n">
        <f aca="false">INDEX(02_Massnahmenkatalog!$G:$G,MATCH($B100,02_Massnahmenkatalog!$B:$B,0))</f>
        <v>0</v>
      </c>
      <c r="O100" s="29" t="n">
        <f aca="false">INDEX(04_Nutzungsdauern!$C:$C,MATCH($M100,04_Nutzungsdauern!$B:$B,0))</f>
        <v>0.7</v>
      </c>
      <c r="P100" s="18" t="n">
        <f aca="false">$N100*$O100-(A_Jahr-IF($L100="",Obj_Baujahr,$L100))</f>
        <v>-44</v>
      </c>
      <c r="Q100" s="18" t="n">
        <f aca="false">A_Jahr+MAX(0,$P100)</f>
        <v>2026</v>
      </c>
      <c r="R100" s="15" t="s">
        <v>601</v>
      </c>
      <c r="S100" s="18" t="str">
        <f aca="false">IF($R100="Automatik",IF($Q100&lt;=A_Jahr+A_Horizont,"JA","NEIN"),IF(OR($R100="Sofort",$R100="In Horizont"),"JA","NEIN"))</f>
        <v>JA</v>
      </c>
      <c r="T100" s="16" t="n">
        <v>0</v>
      </c>
      <c r="U100" s="20" t="n">
        <f aca="false">IF(AND($K100="Ja",$S100="JA"),$J100*(1-$T100),0)</f>
        <v>0</v>
      </c>
      <c r="V100" s="30" t="str">
        <f aca="false">IF(AND($S100="NEIN",OR(AND(Obj_Zielstandard="EH 55 EE",$X100="Ja"),AND(Obj_Zielstandard="EH 40 EE",$Y100="Ja"))),"Pflicht bei Zielstandard, aber nicht aufgenommen","")</f>
        <v/>
      </c>
      <c r="W100" s="15"/>
      <c r="X100" s="26" t="str">
        <f aca="false">INDEX(02_Massnahmenkatalog!$J:$J,MATCH($B100,02_Massnahmenkatalog!$B:$B,0))</f>
        <v>Nein</v>
      </c>
      <c r="Y100" s="26" t="str">
        <f aca="false">INDEX(02_Massnahmenkatalog!$K:$K,MATCH($B100,02_Massnahmenkatalog!$B:$B,0))</f>
        <v>Nein</v>
      </c>
    </row>
    <row r="101" customFormat="false" ht="23.85" hidden="false" customHeight="false" outlineLevel="0" collapsed="false">
      <c r="B101" s="18" t="s">
        <v>407</v>
      </c>
      <c r="C101" s="26" t="str">
        <f aca="false">INDEX(02_Massnahmenkatalog!$C:$C,MATCH($B101,02_Massnahmenkatalog!$B:$B,0))</f>
        <v>Weiche Kosten</v>
      </c>
      <c r="D101" s="27" t="str">
        <f aca="false">INDEX(02_Massnahmenkatalog!$D:$D,MATCH($B101,02_Massnahmenkatalog!$B:$B,0))</f>
        <v>Bauantrag/Genehmigung</v>
      </c>
      <c r="E101" s="26" t="str">
        <f aca="false">INDEX(02_Massnahmenkatalog!$E:$E,MATCH($B101,02_Massnahmenkatalog!$B:$B,0))</f>
        <v>€ pauschal</v>
      </c>
      <c r="F101" s="18" t="n">
        <f aca="false">0</f>
        <v>0</v>
      </c>
      <c r="G101" s="15"/>
      <c r="H101" s="18" t="n">
        <f aca="false">IF($G101="",$F101,$G101)</f>
        <v>0</v>
      </c>
      <c r="I101" s="28" t="n">
        <f aca="false">INDEX(02_Massnahmenkatalog!$F:$F,MATCH($B101,02_Massnahmenkatalog!$B:$B,0))</f>
        <v>1700</v>
      </c>
      <c r="J101" s="20" t="n">
        <f aca="false">$H101*$I101</f>
        <v>0</v>
      </c>
      <c r="K101" s="26" t="str">
        <f aca="false">INDEX(02_Massnahmenkatalog!$H:$H,MATCH($B101,02_Massnahmenkatalog!$B:$B,0))</f>
        <v>Nein</v>
      </c>
      <c r="L101" s="15"/>
      <c r="M101" s="15" t="n">
        <v>3</v>
      </c>
      <c r="N101" s="26" t="n">
        <f aca="false">INDEX(02_Massnahmenkatalog!$G:$G,MATCH($B101,02_Massnahmenkatalog!$B:$B,0))</f>
        <v>0</v>
      </c>
      <c r="O101" s="29" t="n">
        <f aca="false">INDEX(04_Nutzungsdauern!$C:$C,MATCH($M101,04_Nutzungsdauern!$B:$B,0))</f>
        <v>0.7</v>
      </c>
      <c r="P101" s="18" t="n">
        <f aca="false">$N101*$O101-(A_Jahr-IF($L101="",Obj_Baujahr,$L101))</f>
        <v>-44</v>
      </c>
      <c r="Q101" s="18" t="n">
        <f aca="false">A_Jahr+MAX(0,$P101)</f>
        <v>2026</v>
      </c>
      <c r="R101" s="15" t="s">
        <v>601</v>
      </c>
      <c r="S101" s="18" t="str">
        <f aca="false">IF($R101="Automatik",IF($Q101&lt;=A_Jahr+A_Horizont,"JA","NEIN"),IF(OR($R101="Sofort",$R101="In Horizont"),"JA","NEIN"))</f>
        <v>JA</v>
      </c>
      <c r="T101" s="16" t="n">
        <v>0</v>
      </c>
      <c r="U101" s="20" t="n">
        <f aca="false">IF(AND($K101="Ja",$S101="JA"),$J101*(1-$T101),0)</f>
        <v>0</v>
      </c>
      <c r="V101" s="30" t="str">
        <f aca="false">IF(AND($S101="NEIN",OR(AND(Obj_Zielstandard="EH 55 EE",$X101="Ja"),AND(Obj_Zielstandard="EH 40 EE",$Y101="Ja"))),"Pflicht bei Zielstandard, aber nicht aufgenommen","")</f>
        <v/>
      </c>
      <c r="W101" s="15"/>
      <c r="X101" s="26" t="str">
        <f aca="false">INDEX(02_Massnahmenkatalog!$J:$J,MATCH($B101,02_Massnahmenkatalog!$B:$B,0))</f>
        <v>Nein</v>
      </c>
      <c r="Y101" s="26" t="str">
        <f aca="false">INDEX(02_Massnahmenkatalog!$K:$K,MATCH($B101,02_Massnahmenkatalog!$B:$B,0))</f>
        <v>Nein</v>
      </c>
    </row>
    <row r="103" customFormat="false" ht="15" hidden="false" customHeight="false" outlineLevel="0" collapsed="false">
      <c r="B103" s="14" t="s">
        <v>602</v>
      </c>
      <c r="C103" s="14"/>
      <c r="D103" s="14"/>
      <c r="E103" s="14"/>
    </row>
    <row r="104" customFormat="false" ht="23.85" hidden="false" customHeight="false" outlineLevel="0" collapsed="false">
      <c r="B104" s="11" t="s">
        <v>224</v>
      </c>
      <c r="C104" s="11" t="s">
        <v>603</v>
      </c>
      <c r="D104" s="11" t="s">
        <v>604</v>
      </c>
    </row>
    <row r="105" customFormat="false" ht="15" hidden="false" customHeight="false" outlineLevel="0" collapsed="false">
      <c r="B105" s="4" t="s">
        <v>235</v>
      </c>
      <c r="C105" s="31" t="n">
        <f aca="false">SUMIFS($J$51:$J$101,$C$51:$C$101,"Hülle",$S$51:$S$101,"JA")</f>
        <v>127387.156079661</v>
      </c>
      <c r="D105" s="31" t="n">
        <f aca="false">SUMIFS($U$51:$U$101,$C$51:$C$101,"Hülle",$S$51:$S$101,"JA")</f>
        <v>124687.156079661</v>
      </c>
    </row>
    <row r="106" customFormat="false" ht="15" hidden="false" customHeight="false" outlineLevel="0" collapsed="false">
      <c r="B106" s="4" t="s">
        <v>280</v>
      </c>
      <c r="C106" s="31" t="n">
        <f aca="false">SUMIFS($J$51:$J$101,$C$51:$C$101,"Anlagentechnik",$S$51:$S$101,"JA")</f>
        <v>62070.6153846154</v>
      </c>
      <c r="D106" s="31" t="n">
        <f aca="false">SUMIFS($U$51:$U$101,$C$51:$C$101,"Anlagentechnik",$S$51:$S$101,"JA")</f>
        <v>55870.6153846154</v>
      </c>
    </row>
    <row r="107" customFormat="false" ht="15" hidden="false" customHeight="false" outlineLevel="0" collapsed="false">
      <c r="B107" s="4" t="s">
        <v>307</v>
      </c>
      <c r="C107" s="31" t="n">
        <f aca="false">SUMIFS($J$51:$J$101,$C$51:$C$101,"Elektro/Innenausbau",$S$51:$S$101,"JA")</f>
        <v>106237.836391417</v>
      </c>
      <c r="D107" s="31" t="n">
        <f aca="false">SUMIFS($U$51:$U$101,$C$51:$C$101,"Elektro/Innenausbau",$S$51:$S$101,"JA")</f>
        <v>0</v>
      </c>
    </row>
    <row r="108" customFormat="false" ht="15" hidden="false" customHeight="false" outlineLevel="0" collapsed="false">
      <c r="B108" s="4" t="s">
        <v>337</v>
      </c>
      <c r="C108" s="31" t="n">
        <f aca="false">SUMIFS($J$51:$J$101,$C$51:$C$101,"Risiko/Schadstoff",$S$51:$S$101,"JA")</f>
        <v>5820</v>
      </c>
      <c r="D108" s="31" t="n">
        <f aca="false">SUMIFS($U$51:$U$101,$C$51:$C$101,"Risiko/Schadstoff",$S$51:$S$101,"JA")</f>
        <v>0</v>
      </c>
    </row>
    <row r="109" customFormat="false" ht="15" hidden="false" customHeight="false" outlineLevel="0" collapsed="false">
      <c r="B109" s="4" t="s">
        <v>232</v>
      </c>
      <c r="C109" s="31" t="n">
        <f aca="false">SUMIFS($J$51:$J$101,$C$51:$C$101,"Klimaneutralität",$S$51:$S$101,"JA")</f>
        <v>15240.4090909091</v>
      </c>
      <c r="D109" s="31" t="n">
        <f aca="false">SUMIFS($U$51:$U$101,$C$51:$C$101,"Klimaneutralität",$S$51:$S$101,"JA")</f>
        <v>1500</v>
      </c>
    </row>
    <row r="110" customFormat="false" ht="15" hidden="false" customHeight="false" outlineLevel="0" collapsed="false">
      <c r="B110" s="4" t="s">
        <v>372</v>
      </c>
      <c r="C110" s="31" t="n">
        <f aca="false">SUMIFS($J$51:$J$101,$C$51:$C$101,"Smart Home",$S$51:$S$101,"JA")</f>
        <v>3000</v>
      </c>
      <c r="D110" s="31" t="n">
        <f aca="false">SUMIFS($U$51:$U$101,$C$51:$C$101,"Smart Home",$S$51:$S$101,"JA")</f>
        <v>0</v>
      </c>
    </row>
    <row r="111" customFormat="false" ht="15" hidden="false" customHeight="false" outlineLevel="0" collapsed="false">
      <c r="B111" s="4" t="s">
        <v>386</v>
      </c>
      <c r="C111" s="31" t="n">
        <f aca="false">SUMIFS($J$51:$J$101,$C$51:$C$101,"Außenanlagen",$S$51:$S$101,"JA")</f>
        <v>0</v>
      </c>
      <c r="D111" s="31" t="n">
        <f aca="false">SUMIFS($U$51:$U$101,$C$51:$C$101,"Außenanlagen",$S$51:$S$101,"JA")</f>
        <v>0</v>
      </c>
    </row>
    <row r="112" customFormat="false" ht="15" hidden="false" customHeight="false" outlineLevel="0" collapsed="false">
      <c r="B112" s="4" t="s">
        <v>396</v>
      </c>
      <c r="C112" s="31" t="n">
        <f aca="false">SUMIFS($J$51:$J$101,$C$51:$C$101,"Weiche Kosten",$S$51:$S$101,"JA")</f>
        <v>7333.7331439283</v>
      </c>
      <c r="D112" s="31" t="n">
        <f aca="false">SUMIFS($U$51:$U$101,$C$51:$C$101,"Weiche Kosten",$S$51:$S$101,"JA")</f>
        <v>7333.7331439283</v>
      </c>
    </row>
    <row r="113" customFormat="false" ht="15" hidden="false" customHeight="false" outlineLevel="0" collapsed="false">
      <c r="B113" s="32" t="s">
        <v>605</v>
      </c>
      <c r="C113" s="33" t="n">
        <f aca="false">SUM(C105:C112)</f>
        <v>327089.750090531</v>
      </c>
      <c r="D113" s="33" t="n">
        <f aca="false">SUM(D105:D112)</f>
        <v>189391.504608205</v>
      </c>
    </row>
    <row r="115" customFormat="false" ht="15" hidden="false" customHeight="false" outlineLevel="0" collapsed="false">
      <c r="B115" s="4" t="s">
        <v>606</v>
      </c>
      <c r="C115" s="34" t="n">
        <f aca="false">SUMPRODUCT($J$51:$J$101,$T$51:$T$101)/MAX(C113,1)</f>
        <v>0</v>
      </c>
    </row>
  </sheetData>
  <autoFilter ref="B50:W101"/>
  <mergeCells count="4">
    <mergeCell ref="B3:E3"/>
    <mergeCell ref="B34:E34"/>
    <mergeCell ref="B49:U49"/>
    <mergeCell ref="B103:E103"/>
  </mergeCells>
  <conditionalFormatting sqref="S51:S101">
    <cfRule type="cellIs" priority="2" operator="equal" aboveAverage="0" equalAverage="0" bottom="0" percent="0" rank="0" text="" dxfId="9">
      <formula>"JA"</formula>
    </cfRule>
  </conditionalFormatting>
  <conditionalFormatting sqref="V51:V101">
    <cfRule type="expression" priority="3" aboveAverage="0" equalAverage="0" bottom="0" percent="0" rank="0" text="" dxfId="10">
      <formula>V51&lt;&gt;""</formula>
    </cfRule>
  </conditionalFormatting>
  <dataValidations count="113">
    <dataValidation allowBlank="true" errorStyle="stop" operator="between" showDropDown="false" showErrorMessage="false" showInputMessage="false" sqref="C14" type="list">
      <formula1>"Kein Keller,Teilkeller,Vollkeller"</formula1>
      <formula2>0</formula2>
    </dataValidation>
    <dataValidation allowBlank="true" errorStyle="stop" operator="between" showDropDown="false" showErrorMessage="false" showInputMessage="false" sqref="C15" type="list">
      <formula1>"Satteldach,Flachdach,Walmdach"</formula1>
      <formula2>0</formula2>
    </dataValidation>
    <dataValidation allowBlank="true" errorStyle="stop" operator="between" showDropDown="false" showErrorMessage="false" showInputMessage="false" sqref="C16" type="list">
      <formula1>"Ja,Nein"</formula1>
      <formula2>0</formula2>
    </dataValidation>
    <dataValidation allowBlank="true" errorStyle="stop" operator="between" showDropDown="false" showErrorMessage="false" showInputMessage="false" sqref="C18" type="list">
      <formula1>"Gasheizung,Ölheizung,Nachtspeicher,Fernwärme,Wärmepumpe,Sonstige"</formula1>
      <formula2>0</formula2>
    </dataValidation>
    <dataValidation allowBlank="true" errorStyle="stop" operator="between" showDropDown="false" showErrorMessage="false" showInputMessage="false" sqref="C20" type="list">
      <formula1>"Ja,Nein"</formula1>
      <formula2>0</formula2>
    </dataValidation>
    <dataValidation allowBlank="true" errorStyle="stop" operator="between" showDropDown="false" showErrorMessage="false" showInputMessage="false" sqref="C21" type="list">
      <formula1>"EH 55 EE,EH 40 EE,Nur Einzelmaßnahmen"</formula1>
      <formula2>0</formula2>
    </dataValidation>
    <dataValidation allowBlank="true" errorStyle="stop" operator="between" showDropDown="false" showErrorMessage="false" showInputMessage="false" sqref="C22" type="list">
      <formula1>"Ja,Nein"</formula1>
      <formula2>0</formula2>
    </dataValidation>
    <dataValidation allowBlank="true" errorStyle="stop" operator="between" showDropDown="false" showErrorMessage="false" showInputMessage="false" sqref="C23" type="list">
      <formula1>"Automatik (Empfehlung),Weg A (Effizienzhaus),Weg B (Einzelmaßnahmen)"</formula1>
      <formula2>0</formula2>
    </dataValidation>
    <dataValidation allowBlank="true" errorStyle="stop" operator="between" showDropDown="false" showErrorMessage="false" showInputMessage="false" sqref="C24" type="list">
      <formula1>"Ja,Nein"</formula1>
      <formula2>0</formula2>
    </dataValidation>
    <dataValidation allowBlank="true" errorStyle="stop" operator="between" showDropDown="false" showErrorMessage="false" showInputMessage="false" sqref="C28" type="list">
      <formula1>"Ja,Nein"</formula1>
      <formula2>0</formula2>
    </dataValidation>
    <dataValidation allowBlank="true" errorStyle="stop" operator="between" showDropDown="false" showErrorMessage="false" showInputMessage="false" sqref="C31" type="list">
      <formula1>"Süd,Ost-West"</formula1>
      <formula2>0</formula2>
    </dataValidation>
    <dataValidation allowBlank="true" errorStyle="stop" operator="between" showDropDown="false" showErrorMessage="false" showInputMessage="false" sqref="M51" type="list">
      <formula1>"1,2,3,4,5"</formula1>
      <formula2>0</formula2>
    </dataValidation>
    <dataValidation allowBlank="true" errorStyle="stop" operator="between" showDropDown="false" showErrorMessage="false" showInputMessage="false" sqref="R51" type="list">
      <formula1>"Automatik,Sofort,In Horizont,Später,Entfällt"</formula1>
      <formula2>0</formula2>
    </dataValidation>
    <dataValidation allowBlank="true" errorStyle="stop" operator="between" showDropDown="false" showErrorMessage="false" showInputMessage="false" sqref="M52" type="list">
      <formula1>"1,2,3,4,5"</formula1>
      <formula2>0</formula2>
    </dataValidation>
    <dataValidation allowBlank="true" errorStyle="stop" operator="between" showDropDown="false" showErrorMessage="false" showInputMessage="false" sqref="R52" type="list">
      <formula1>"Automatik,Sofort,In Horizont,Später,Entfällt"</formula1>
      <formula2>0</formula2>
    </dataValidation>
    <dataValidation allowBlank="true" errorStyle="stop" operator="between" showDropDown="false" showErrorMessage="false" showInputMessage="false" sqref="M53" type="list">
      <formula1>"1,2,3,4,5"</formula1>
      <formula2>0</formula2>
    </dataValidation>
    <dataValidation allowBlank="true" errorStyle="stop" operator="between" showDropDown="false" showErrorMessage="false" showInputMessage="false" sqref="R53" type="list">
      <formula1>"Automatik,Sofort,In Horizont,Später,Entfällt"</formula1>
      <formula2>0</formula2>
    </dataValidation>
    <dataValidation allowBlank="true" errorStyle="stop" operator="between" showDropDown="false" showErrorMessage="false" showInputMessage="false" sqref="M54" type="list">
      <formula1>"1,2,3,4,5"</formula1>
      <formula2>0</formula2>
    </dataValidation>
    <dataValidation allowBlank="true" errorStyle="stop" operator="between" showDropDown="false" showErrorMessage="false" showInputMessage="false" sqref="R54" type="list">
      <formula1>"Automatik,Sofort,In Horizont,Später,Entfällt"</formula1>
      <formula2>0</formula2>
    </dataValidation>
    <dataValidation allowBlank="true" errorStyle="stop" operator="between" showDropDown="false" showErrorMessage="false" showInputMessage="false" sqref="M55" type="list">
      <formula1>"1,2,3,4,5"</formula1>
      <formula2>0</formula2>
    </dataValidation>
    <dataValidation allowBlank="true" errorStyle="stop" operator="between" showDropDown="false" showErrorMessage="false" showInputMessage="false" sqref="R55" type="list">
      <formula1>"Automatik,Sofort,In Horizont,Später,Entfällt"</formula1>
      <formula2>0</formula2>
    </dataValidation>
    <dataValidation allowBlank="true" errorStyle="stop" operator="between" showDropDown="false" showErrorMessage="false" showInputMessage="false" sqref="M56" type="list">
      <formula1>"1,2,3,4,5"</formula1>
      <formula2>0</formula2>
    </dataValidation>
    <dataValidation allowBlank="true" errorStyle="stop" operator="between" showDropDown="false" showErrorMessage="false" showInputMessage="false" sqref="R56" type="list">
      <formula1>"Automatik,Sofort,In Horizont,Später,Entfällt"</formula1>
      <formula2>0</formula2>
    </dataValidation>
    <dataValidation allowBlank="true" errorStyle="stop" operator="between" showDropDown="false" showErrorMessage="false" showInputMessage="false" sqref="M57" type="list">
      <formula1>"1,2,3,4,5"</formula1>
      <formula2>0</formula2>
    </dataValidation>
    <dataValidation allowBlank="true" errorStyle="stop" operator="between" showDropDown="false" showErrorMessage="false" showInputMessage="false" sqref="R57" type="list">
      <formula1>"Automatik,Sofort,In Horizont,Später,Entfällt"</formula1>
      <formula2>0</formula2>
    </dataValidation>
    <dataValidation allowBlank="true" errorStyle="stop" operator="between" showDropDown="false" showErrorMessage="false" showInputMessage="false" sqref="M58" type="list">
      <formula1>"1,2,3,4,5"</formula1>
      <formula2>0</formula2>
    </dataValidation>
    <dataValidation allowBlank="true" errorStyle="stop" operator="between" showDropDown="false" showErrorMessage="false" showInputMessage="false" sqref="R58" type="list">
      <formula1>"Automatik,Sofort,In Horizont,Später,Entfällt"</formula1>
      <formula2>0</formula2>
    </dataValidation>
    <dataValidation allowBlank="true" errorStyle="stop" operator="between" showDropDown="false" showErrorMessage="false" showInputMessage="false" sqref="M59" type="list">
      <formula1>"1,2,3,4,5"</formula1>
      <formula2>0</formula2>
    </dataValidation>
    <dataValidation allowBlank="true" errorStyle="stop" operator="between" showDropDown="false" showErrorMessage="false" showInputMessage="false" sqref="R59" type="list">
      <formula1>"Automatik,Sofort,In Horizont,Später,Entfällt"</formula1>
      <formula2>0</formula2>
    </dataValidation>
    <dataValidation allowBlank="true" errorStyle="stop" operator="between" showDropDown="false" showErrorMessage="false" showInputMessage="false" sqref="M60" type="list">
      <formula1>"1,2,3,4,5"</formula1>
      <formula2>0</formula2>
    </dataValidation>
    <dataValidation allowBlank="true" errorStyle="stop" operator="between" showDropDown="false" showErrorMessage="false" showInputMessage="false" sqref="R60" type="list">
      <formula1>"Automatik,Sofort,In Horizont,Später,Entfällt"</formula1>
      <formula2>0</formula2>
    </dataValidation>
    <dataValidation allowBlank="true" errorStyle="stop" operator="between" showDropDown="false" showErrorMessage="false" showInputMessage="false" sqref="M61" type="list">
      <formula1>"1,2,3,4,5"</formula1>
      <formula2>0</formula2>
    </dataValidation>
    <dataValidation allowBlank="true" errorStyle="stop" operator="between" showDropDown="false" showErrorMessage="false" showInputMessage="false" sqref="R61" type="list">
      <formula1>"Automatik,Sofort,In Horizont,Später,Entfällt"</formula1>
      <formula2>0</formula2>
    </dataValidation>
    <dataValidation allowBlank="true" errorStyle="stop" operator="between" showDropDown="false" showErrorMessage="false" showInputMessage="false" sqref="M62" type="list">
      <formula1>"1,2,3,4,5"</formula1>
      <formula2>0</formula2>
    </dataValidation>
    <dataValidation allowBlank="true" errorStyle="stop" operator="between" showDropDown="false" showErrorMessage="false" showInputMessage="false" sqref="R62" type="list">
      <formula1>"Automatik,Sofort,In Horizont,Später,Entfällt"</formula1>
      <formula2>0</formula2>
    </dataValidation>
    <dataValidation allowBlank="true" errorStyle="stop" operator="between" showDropDown="false" showErrorMessage="false" showInputMessage="false" sqref="M63" type="list">
      <formula1>"1,2,3,4,5"</formula1>
      <formula2>0</formula2>
    </dataValidation>
    <dataValidation allowBlank="true" errorStyle="stop" operator="between" showDropDown="false" showErrorMessage="false" showInputMessage="false" sqref="R63" type="list">
      <formula1>"Automatik,Sofort,In Horizont,Später,Entfällt"</formula1>
      <formula2>0</formula2>
    </dataValidation>
    <dataValidation allowBlank="true" errorStyle="stop" operator="between" showDropDown="false" showErrorMessage="false" showInputMessage="false" sqref="M64" type="list">
      <formula1>"1,2,3,4,5"</formula1>
      <formula2>0</formula2>
    </dataValidation>
    <dataValidation allowBlank="true" errorStyle="stop" operator="between" showDropDown="false" showErrorMessage="false" showInputMessage="false" sqref="R64" type="list">
      <formula1>"Automatik,Sofort,In Horizont,Später,Entfällt"</formula1>
      <formula2>0</formula2>
    </dataValidation>
    <dataValidation allowBlank="true" errorStyle="stop" operator="between" showDropDown="false" showErrorMessage="false" showInputMessage="false" sqref="M65" type="list">
      <formula1>"1,2,3,4,5"</formula1>
      <formula2>0</formula2>
    </dataValidation>
    <dataValidation allowBlank="true" errorStyle="stop" operator="between" showDropDown="false" showErrorMessage="false" showInputMessage="false" sqref="R65" type="list">
      <formula1>"Automatik,Sofort,In Horizont,Später,Entfällt"</formula1>
      <formula2>0</formula2>
    </dataValidation>
    <dataValidation allowBlank="true" errorStyle="stop" operator="between" showDropDown="false" showErrorMessage="false" showInputMessage="false" sqref="M66" type="list">
      <formula1>"1,2,3,4,5"</formula1>
      <formula2>0</formula2>
    </dataValidation>
    <dataValidation allowBlank="true" errorStyle="stop" operator="between" showDropDown="false" showErrorMessage="false" showInputMessage="false" sqref="R66" type="list">
      <formula1>"Automatik,Sofort,In Horizont,Später,Entfällt"</formula1>
      <formula2>0</formula2>
    </dataValidation>
    <dataValidation allowBlank="true" errorStyle="stop" operator="between" showDropDown="false" showErrorMessage="false" showInputMessage="false" sqref="M67" type="list">
      <formula1>"1,2,3,4,5"</formula1>
      <formula2>0</formula2>
    </dataValidation>
    <dataValidation allowBlank="true" errorStyle="stop" operator="between" showDropDown="false" showErrorMessage="false" showInputMessage="false" sqref="R67" type="list">
      <formula1>"Automatik,Sofort,In Horizont,Später,Entfällt"</formula1>
      <formula2>0</formula2>
    </dataValidation>
    <dataValidation allowBlank="true" errorStyle="stop" operator="between" showDropDown="false" showErrorMessage="false" showInputMessage="false" sqref="M68" type="list">
      <formula1>"1,2,3,4,5"</formula1>
      <formula2>0</formula2>
    </dataValidation>
    <dataValidation allowBlank="true" errorStyle="stop" operator="between" showDropDown="false" showErrorMessage="false" showInputMessage="false" sqref="R68" type="list">
      <formula1>"Automatik,Sofort,In Horizont,Später,Entfällt"</formula1>
      <formula2>0</formula2>
    </dataValidation>
    <dataValidation allowBlank="true" errorStyle="stop" operator="between" showDropDown="false" showErrorMessage="false" showInputMessage="false" sqref="M69" type="list">
      <formula1>"1,2,3,4,5"</formula1>
      <formula2>0</formula2>
    </dataValidation>
    <dataValidation allowBlank="true" errorStyle="stop" operator="between" showDropDown="false" showErrorMessage="false" showInputMessage="false" sqref="R69" type="list">
      <formula1>"Automatik,Sofort,In Horizont,Später,Entfällt"</formula1>
      <formula2>0</formula2>
    </dataValidation>
    <dataValidation allowBlank="true" errorStyle="stop" operator="between" showDropDown="false" showErrorMessage="false" showInputMessage="false" sqref="M70" type="list">
      <formula1>"1,2,3,4,5"</formula1>
      <formula2>0</formula2>
    </dataValidation>
    <dataValidation allowBlank="true" errorStyle="stop" operator="between" showDropDown="false" showErrorMessage="false" showInputMessage="false" sqref="R70" type="list">
      <formula1>"Automatik,Sofort,In Horizont,Später,Entfällt"</formula1>
      <formula2>0</formula2>
    </dataValidation>
    <dataValidation allowBlank="true" errorStyle="stop" operator="between" showDropDown="false" showErrorMessage="false" showInputMessage="false" sqref="M71" type="list">
      <formula1>"1,2,3,4,5"</formula1>
      <formula2>0</formula2>
    </dataValidation>
    <dataValidation allowBlank="true" errorStyle="stop" operator="between" showDropDown="false" showErrorMessage="false" showInputMessage="false" sqref="R71" type="list">
      <formula1>"Automatik,Sofort,In Horizont,Später,Entfällt"</formula1>
      <formula2>0</formula2>
    </dataValidation>
    <dataValidation allowBlank="true" errorStyle="stop" operator="between" showDropDown="false" showErrorMessage="false" showInputMessage="false" sqref="M72" type="list">
      <formula1>"1,2,3,4,5"</formula1>
      <formula2>0</formula2>
    </dataValidation>
    <dataValidation allowBlank="true" errorStyle="stop" operator="between" showDropDown="false" showErrorMessage="false" showInputMessage="false" sqref="R72" type="list">
      <formula1>"Automatik,Sofort,In Horizont,Später,Entfällt"</formula1>
      <formula2>0</formula2>
    </dataValidation>
    <dataValidation allowBlank="true" errorStyle="stop" operator="between" showDropDown="false" showErrorMessage="false" showInputMessage="false" sqref="M73" type="list">
      <formula1>"1,2,3,4,5"</formula1>
      <formula2>0</formula2>
    </dataValidation>
    <dataValidation allowBlank="true" errorStyle="stop" operator="between" showDropDown="false" showErrorMessage="false" showInputMessage="false" sqref="R73" type="list">
      <formula1>"Automatik,Sofort,In Horizont,Später,Entfällt"</formula1>
      <formula2>0</formula2>
    </dataValidation>
    <dataValidation allowBlank="true" errorStyle="stop" operator="between" showDropDown="false" showErrorMessage="false" showInputMessage="false" sqref="M74" type="list">
      <formula1>"1,2,3,4,5"</formula1>
      <formula2>0</formula2>
    </dataValidation>
    <dataValidation allowBlank="true" errorStyle="stop" operator="between" showDropDown="false" showErrorMessage="false" showInputMessage="false" sqref="R74" type="list">
      <formula1>"Automatik,Sofort,In Horizont,Später,Entfällt"</formula1>
      <formula2>0</formula2>
    </dataValidation>
    <dataValidation allowBlank="true" errorStyle="stop" operator="between" showDropDown="false" showErrorMessage="false" showInputMessage="false" sqref="M75" type="list">
      <formula1>"1,2,3,4,5"</formula1>
      <formula2>0</formula2>
    </dataValidation>
    <dataValidation allowBlank="true" errorStyle="stop" operator="between" showDropDown="false" showErrorMessage="false" showInputMessage="false" sqref="R75" type="list">
      <formula1>"Automatik,Sofort,In Horizont,Später,Entfällt"</formula1>
      <formula2>0</formula2>
    </dataValidation>
    <dataValidation allowBlank="true" errorStyle="stop" operator="between" showDropDown="false" showErrorMessage="false" showInputMessage="false" sqref="M76" type="list">
      <formula1>"1,2,3,4,5"</formula1>
      <formula2>0</formula2>
    </dataValidation>
    <dataValidation allowBlank="true" errorStyle="stop" operator="between" showDropDown="false" showErrorMessage="false" showInputMessage="false" sqref="R76" type="list">
      <formula1>"Automatik,Sofort,In Horizont,Später,Entfällt"</formula1>
      <formula2>0</formula2>
    </dataValidation>
    <dataValidation allowBlank="true" errorStyle="stop" operator="between" showDropDown="false" showErrorMessage="false" showInputMessage="false" sqref="M77" type="list">
      <formula1>"1,2,3,4,5"</formula1>
      <formula2>0</formula2>
    </dataValidation>
    <dataValidation allowBlank="true" errorStyle="stop" operator="between" showDropDown="false" showErrorMessage="false" showInputMessage="false" sqref="R77" type="list">
      <formula1>"Automatik,Sofort,In Horizont,Später,Entfällt"</formula1>
      <formula2>0</formula2>
    </dataValidation>
    <dataValidation allowBlank="true" errorStyle="stop" operator="between" showDropDown="false" showErrorMessage="false" showInputMessage="false" sqref="M78" type="list">
      <formula1>"1,2,3,4,5"</formula1>
      <formula2>0</formula2>
    </dataValidation>
    <dataValidation allowBlank="true" errorStyle="stop" operator="between" showDropDown="false" showErrorMessage="false" showInputMessage="false" sqref="R78" type="list">
      <formula1>"Automatik,Sofort,In Horizont,Später,Entfällt"</formula1>
      <formula2>0</formula2>
    </dataValidation>
    <dataValidation allowBlank="true" errorStyle="stop" operator="between" showDropDown="false" showErrorMessage="false" showInputMessage="false" sqref="M79" type="list">
      <formula1>"1,2,3,4,5"</formula1>
      <formula2>0</formula2>
    </dataValidation>
    <dataValidation allowBlank="true" errorStyle="stop" operator="between" showDropDown="false" showErrorMessage="false" showInputMessage="false" sqref="R79" type="list">
      <formula1>"Automatik,Sofort,In Horizont,Später,Entfällt"</formula1>
      <formula2>0</formula2>
    </dataValidation>
    <dataValidation allowBlank="true" errorStyle="stop" operator="between" showDropDown="false" showErrorMessage="false" showInputMessage="false" sqref="M80" type="list">
      <formula1>"1,2,3,4,5"</formula1>
      <formula2>0</formula2>
    </dataValidation>
    <dataValidation allowBlank="true" errorStyle="stop" operator="between" showDropDown="false" showErrorMessage="false" showInputMessage="false" sqref="R80" type="list">
      <formula1>"Automatik,Sofort,In Horizont,Später,Entfällt"</formula1>
      <formula2>0</formula2>
    </dataValidation>
    <dataValidation allowBlank="true" errorStyle="stop" operator="between" showDropDown="false" showErrorMessage="false" showInputMessage="false" sqref="M81" type="list">
      <formula1>"1,2,3,4,5"</formula1>
      <formula2>0</formula2>
    </dataValidation>
    <dataValidation allowBlank="true" errorStyle="stop" operator="between" showDropDown="false" showErrorMessage="false" showInputMessage="false" sqref="R81" type="list">
      <formula1>"Automatik,Sofort,In Horizont,Später,Entfällt"</formula1>
      <formula2>0</formula2>
    </dataValidation>
    <dataValidation allowBlank="true" errorStyle="stop" operator="between" showDropDown="false" showErrorMessage="false" showInputMessage="false" sqref="M82" type="list">
      <formula1>"1,2,3,4,5"</formula1>
      <formula2>0</formula2>
    </dataValidation>
    <dataValidation allowBlank="true" errorStyle="stop" operator="between" showDropDown="false" showErrorMessage="false" showInputMessage="false" sqref="R82" type="list">
      <formula1>"Automatik,Sofort,In Horizont,Später,Entfällt"</formula1>
      <formula2>0</formula2>
    </dataValidation>
    <dataValidation allowBlank="true" errorStyle="stop" operator="between" showDropDown="false" showErrorMessage="false" showInputMessage="false" sqref="M83" type="list">
      <formula1>"1,2,3,4,5"</formula1>
      <formula2>0</formula2>
    </dataValidation>
    <dataValidation allowBlank="true" errorStyle="stop" operator="between" showDropDown="false" showErrorMessage="false" showInputMessage="false" sqref="R83" type="list">
      <formula1>"Automatik,Sofort,In Horizont,Später,Entfällt"</formula1>
      <formula2>0</formula2>
    </dataValidation>
    <dataValidation allowBlank="true" errorStyle="stop" operator="between" showDropDown="false" showErrorMessage="false" showInputMessage="false" sqref="M84" type="list">
      <formula1>"1,2,3,4,5"</formula1>
      <formula2>0</formula2>
    </dataValidation>
    <dataValidation allowBlank="true" errorStyle="stop" operator="between" showDropDown="false" showErrorMessage="false" showInputMessage="false" sqref="R84" type="list">
      <formula1>"Automatik,Sofort,In Horizont,Später,Entfällt"</formula1>
      <formula2>0</formula2>
    </dataValidation>
    <dataValidation allowBlank="true" errorStyle="stop" operator="between" showDropDown="false" showErrorMessage="false" showInputMessage="false" sqref="M85" type="list">
      <formula1>"1,2,3,4,5"</formula1>
      <formula2>0</formula2>
    </dataValidation>
    <dataValidation allowBlank="true" errorStyle="stop" operator="between" showDropDown="false" showErrorMessage="false" showInputMessage="false" sqref="R85" type="list">
      <formula1>"Automatik,Sofort,In Horizont,Später,Entfällt"</formula1>
      <formula2>0</formula2>
    </dataValidation>
    <dataValidation allowBlank="true" errorStyle="stop" operator="between" showDropDown="false" showErrorMessage="false" showInputMessage="false" sqref="M86" type="list">
      <formula1>"1,2,3,4,5"</formula1>
      <formula2>0</formula2>
    </dataValidation>
    <dataValidation allowBlank="true" errorStyle="stop" operator="between" showDropDown="false" showErrorMessage="false" showInputMessage="false" sqref="R86" type="list">
      <formula1>"Automatik,Sofort,In Horizont,Später,Entfällt"</formula1>
      <formula2>0</formula2>
    </dataValidation>
    <dataValidation allowBlank="true" errorStyle="stop" operator="between" showDropDown="false" showErrorMessage="false" showInputMessage="false" sqref="M87" type="list">
      <formula1>"1,2,3,4,5"</formula1>
      <formula2>0</formula2>
    </dataValidation>
    <dataValidation allowBlank="true" errorStyle="stop" operator="between" showDropDown="false" showErrorMessage="false" showInputMessage="false" sqref="R87" type="list">
      <formula1>"Automatik,Sofort,In Horizont,Später,Entfällt"</formula1>
      <formula2>0</formula2>
    </dataValidation>
    <dataValidation allowBlank="true" errorStyle="stop" operator="between" showDropDown="false" showErrorMessage="false" showInputMessage="false" sqref="M88" type="list">
      <formula1>"1,2,3,4,5"</formula1>
      <formula2>0</formula2>
    </dataValidation>
    <dataValidation allowBlank="true" errorStyle="stop" operator="between" showDropDown="false" showErrorMessage="false" showInputMessage="false" sqref="R88" type="list">
      <formula1>"Automatik,Sofort,In Horizont,Später,Entfällt"</formula1>
      <formula2>0</formula2>
    </dataValidation>
    <dataValidation allowBlank="true" errorStyle="stop" operator="between" showDropDown="false" showErrorMessage="false" showInputMessage="false" sqref="M89" type="list">
      <formula1>"1,2,3,4,5"</formula1>
      <formula2>0</formula2>
    </dataValidation>
    <dataValidation allowBlank="true" errorStyle="stop" operator="between" showDropDown="false" showErrorMessage="false" showInputMessage="false" sqref="R89" type="list">
      <formula1>"Automatik,Sofort,In Horizont,Später,Entfällt"</formula1>
      <formula2>0</formula2>
    </dataValidation>
    <dataValidation allowBlank="true" errorStyle="stop" operator="between" showDropDown="false" showErrorMessage="false" showInputMessage="false" sqref="M90" type="list">
      <formula1>"1,2,3,4,5"</formula1>
      <formula2>0</formula2>
    </dataValidation>
    <dataValidation allowBlank="true" errorStyle="stop" operator="between" showDropDown="false" showErrorMessage="false" showInputMessage="false" sqref="R90" type="list">
      <formula1>"Automatik,Sofort,In Horizont,Später,Entfällt"</formula1>
      <formula2>0</formula2>
    </dataValidation>
    <dataValidation allowBlank="true" errorStyle="stop" operator="between" showDropDown="false" showErrorMessage="false" showInputMessage="false" sqref="M91" type="list">
      <formula1>"1,2,3,4,5"</formula1>
      <formula2>0</formula2>
    </dataValidation>
    <dataValidation allowBlank="true" errorStyle="stop" operator="between" showDropDown="false" showErrorMessage="false" showInputMessage="false" sqref="R91" type="list">
      <formula1>"Automatik,Sofort,In Horizont,Später,Entfällt"</formula1>
      <formula2>0</formula2>
    </dataValidation>
    <dataValidation allowBlank="true" errorStyle="stop" operator="between" showDropDown="false" showErrorMessage="false" showInputMessage="false" sqref="M92" type="list">
      <formula1>"1,2,3,4,5"</formula1>
      <formula2>0</formula2>
    </dataValidation>
    <dataValidation allowBlank="true" errorStyle="stop" operator="between" showDropDown="false" showErrorMessage="false" showInputMessage="false" sqref="R92" type="list">
      <formula1>"Automatik,Sofort,In Horizont,Später,Entfällt"</formula1>
      <formula2>0</formula2>
    </dataValidation>
    <dataValidation allowBlank="true" errorStyle="stop" operator="between" showDropDown="false" showErrorMessage="false" showInputMessage="false" sqref="M93" type="list">
      <formula1>"1,2,3,4,5"</formula1>
      <formula2>0</formula2>
    </dataValidation>
    <dataValidation allowBlank="true" errorStyle="stop" operator="between" showDropDown="false" showErrorMessage="false" showInputMessage="false" sqref="R93" type="list">
      <formula1>"Automatik,Sofort,In Horizont,Später,Entfällt"</formula1>
      <formula2>0</formula2>
    </dataValidation>
    <dataValidation allowBlank="true" errorStyle="stop" operator="between" showDropDown="false" showErrorMessage="false" showInputMessage="false" sqref="M94" type="list">
      <formula1>"1,2,3,4,5"</formula1>
      <formula2>0</formula2>
    </dataValidation>
    <dataValidation allowBlank="true" errorStyle="stop" operator="between" showDropDown="false" showErrorMessage="false" showInputMessage="false" sqref="R94" type="list">
      <formula1>"Automatik,Sofort,In Horizont,Später,Entfällt"</formula1>
      <formula2>0</formula2>
    </dataValidation>
    <dataValidation allowBlank="true" errorStyle="stop" operator="between" showDropDown="false" showErrorMessage="false" showInputMessage="false" sqref="M95" type="list">
      <formula1>"1,2,3,4,5"</formula1>
      <formula2>0</formula2>
    </dataValidation>
    <dataValidation allowBlank="true" errorStyle="stop" operator="between" showDropDown="false" showErrorMessage="false" showInputMessage="false" sqref="R95" type="list">
      <formula1>"Automatik,Sofort,In Horizont,Später,Entfällt"</formula1>
      <formula2>0</formula2>
    </dataValidation>
    <dataValidation allowBlank="true" errorStyle="stop" operator="between" showDropDown="false" showErrorMessage="false" showInputMessage="false" sqref="M96" type="list">
      <formula1>"1,2,3,4,5"</formula1>
      <formula2>0</formula2>
    </dataValidation>
    <dataValidation allowBlank="true" errorStyle="stop" operator="between" showDropDown="false" showErrorMessage="false" showInputMessage="false" sqref="R96" type="list">
      <formula1>"Automatik,Sofort,In Horizont,Später,Entfällt"</formula1>
      <formula2>0</formula2>
    </dataValidation>
    <dataValidation allowBlank="true" errorStyle="stop" operator="between" showDropDown="false" showErrorMessage="false" showInputMessage="false" sqref="M97" type="list">
      <formula1>"1,2,3,4,5"</formula1>
      <formula2>0</formula2>
    </dataValidation>
    <dataValidation allowBlank="true" errorStyle="stop" operator="between" showDropDown="false" showErrorMessage="false" showInputMessage="false" sqref="R97" type="list">
      <formula1>"Automatik,Sofort,In Horizont,Später,Entfällt"</formula1>
      <formula2>0</formula2>
    </dataValidation>
    <dataValidation allowBlank="true" errorStyle="stop" operator="between" showDropDown="false" showErrorMessage="false" showInputMessage="false" sqref="M98" type="list">
      <formula1>"1,2,3,4,5"</formula1>
      <formula2>0</formula2>
    </dataValidation>
    <dataValidation allowBlank="true" errorStyle="stop" operator="between" showDropDown="false" showErrorMessage="false" showInputMessage="false" sqref="R98" type="list">
      <formula1>"Automatik,Sofort,In Horizont,Später,Entfällt"</formula1>
      <formula2>0</formula2>
    </dataValidation>
    <dataValidation allowBlank="true" errorStyle="stop" operator="between" showDropDown="false" showErrorMessage="false" showInputMessage="false" sqref="M99" type="list">
      <formula1>"1,2,3,4,5"</formula1>
      <formula2>0</formula2>
    </dataValidation>
    <dataValidation allowBlank="true" errorStyle="stop" operator="between" showDropDown="false" showErrorMessage="false" showInputMessage="false" sqref="R99" type="list">
      <formula1>"Automatik,Sofort,In Horizont,Später,Entfällt"</formula1>
      <formula2>0</formula2>
    </dataValidation>
    <dataValidation allowBlank="true" errorStyle="stop" operator="between" showDropDown="false" showErrorMessage="false" showInputMessage="false" sqref="M100" type="list">
      <formula1>"1,2,3,4,5"</formula1>
      <formula2>0</formula2>
    </dataValidation>
    <dataValidation allowBlank="true" errorStyle="stop" operator="between" showDropDown="false" showErrorMessage="false" showInputMessage="false" sqref="R100" type="list">
      <formula1>"Automatik,Sofort,In Horizont,Später,Entfällt"</formula1>
      <formula2>0</formula2>
    </dataValidation>
    <dataValidation allowBlank="true" errorStyle="stop" operator="between" showDropDown="false" showErrorMessage="false" showInputMessage="false" sqref="M101" type="list">
      <formula1>"1,2,3,4,5"</formula1>
      <formula2>0</formula2>
    </dataValidation>
    <dataValidation allowBlank="true" errorStyle="stop" operator="between" showDropDown="false" showErrorMessage="false" showInputMessage="false" sqref="R101" type="list">
      <formula1>"Automatik,Sofort,In Horizont,Später,Entfällt"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20"/>
  </cols>
  <sheetData>
    <row r="1" customFormat="false" ht="17.35" hidden="false" customHeight="false" outlineLevel="0" collapsed="false">
      <c r="B1" s="1" t="s">
        <v>607</v>
      </c>
    </row>
    <row r="3" customFormat="false" ht="15" hidden="false" customHeight="false" outlineLevel="0" collapsed="false">
      <c r="B3" s="14" t="s">
        <v>608</v>
      </c>
      <c r="C3" s="14"/>
      <c r="D3" s="14"/>
      <c r="E3" s="14"/>
    </row>
    <row r="4" customFormat="false" ht="15" hidden="false" customHeight="false" outlineLevel="0" collapsed="false">
      <c r="B4" s="4" t="s">
        <v>529</v>
      </c>
      <c r="C4" s="13" t="n">
        <f aca="false">10_Beispiel_Luebbecke!$C$8</f>
        <v>279000</v>
      </c>
    </row>
    <row r="5" customFormat="false" ht="15" hidden="false" customHeight="false" outlineLevel="0" collapsed="false">
      <c r="B5" s="4" t="s">
        <v>609</v>
      </c>
      <c r="C5" s="31" t="n">
        <f aca="false">C4*A_GrESt</f>
        <v>18135</v>
      </c>
    </row>
    <row r="6" customFormat="false" ht="15" hidden="false" customHeight="false" outlineLevel="0" collapsed="false">
      <c r="B6" s="4" t="s">
        <v>610</v>
      </c>
      <c r="C6" s="31" t="n">
        <f aca="false">C4*A_Notar</f>
        <v>5022</v>
      </c>
    </row>
    <row r="7" customFormat="false" ht="15" hidden="false" customHeight="false" outlineLevel="0" collapsed="false">
      <c r="B7" s="4" t="s">
        <v>611</v>
      </c>
      <c r="C7" s="31" t="n">
        <f aca="false">IF(10_Beispiel_Luebbecke!$C$24="Ja",C4*A_Makler,0)</f>
        <v>9960.3</v>
      </c>
    </row>
    <row r="8" customFormat="false" ht="15" hidden="false" customHeight="false" outlineLevel="0" collapsed="false">
      <c r="B8" s="32" t="s">
        <v>612</v>
      </c>
      <c r="C8" s="33" t="n">
        <f aca="false">SUM(C4:C7)</f>
        <v>312117.3</v>
      </c>
    </row>
    <row r="10" customFormat="false" ht="15" hidden="false" customHeight="false" outlineLevel="0" collapsed="false">
      <c r="B10" s="14" t="s">
        <v>613</v>
      </c>
      <c r="C10" s="14"/>
      <c r="D10" s="14"/>
      <c r="E10" s="14"/>
    </row>
    <row r="11" customFormat="false" ht="15" hidden="false" customHeight="false" outlineLevel="0" collapsed="false">
      <c r="B11" s="4" t="s">
        <v>614</v>
      </c>
      <c r="C11" s="13" t="n">
        <f aca="false">10_Beispiel_Luebbecke!$C$113</f>
        <v>327089.750090531</v>
      </c>
    </row>
    <row r="12" customFormat="false" ht="15" hidden="false" customHeight="false" outlineLevel="0" collapsed="false">
      <c r="B12" s="4" t="s">
        <v>615</v>
      </c>
      <c r="C12" s="31" t="n">
        <f aca="false">C11*A_Puffer</f>
        <v>39250.7700108638</v>
      </c>
    </row>
    <row r="13" customFormat="false" ht="15" hidden="false" customHeight="false" outlineLevel="0" collapsed="false">
      <c r="B13" s="32" t="s">
        <v>616</v>
      </c>
      <c r="C13" s="33" t="n">
        <f aca="false">C11+C12</f>
        <v>366340.520101395</v>
      </c>
    </row>
    <row r="15" customFormat="false" ht="15" hidden="false" customHeight="false" outlineLevel="0" collapsed="false">
      <c r="B15" s="14" t="s">
        <v>617</v>
      </c>
      <c r="C15" s="14"/>
      <c r="D15" s="14"/>
      <c r="E15" s="14"/>
    </row>
    <row r="16" customFormat="false" ht="15" hidden="false" customHeight="false" outlineLevel="0" collapsed="false">
      <c r="B16" s="4" t="s">
        <v>618</v>
      </c>
      <c r="C16" s="12" t="str">
        <f aca="false">10_Beispiel_Luebbecke!$C$21</f>
        <v>EH 55 EE</v>
      </c>
    </row>
    <row r="18" customFormat="false" ht="15" hidden="false" customHeight="false" outlineLevel="0" collapsed="false">
      <c r="B18" s="21" t="s">
        <v>619</v>
      </c>
    </row>
    <row r="19" customFormat="false" ht="15" hidden="false" customHeight="false" outlineLevel="0" collapsed="false">
      <c r="B19" s="4" t="s">
        <v>620</v>
      </c>
      <c r="C19" s="31" t="n">
        <f aca="false">MIN(C13,150000)</f>
        <v>150000</v>
      </c>
    </row>
    <row r="20" customFormat="false" ht="15" hidden="false" customHeight="false" outlineLevel="0" collapsed="false">
      <c r="B20" s="4" t="s">
        <v>621</v>
      </c>
      <c r="C20" s="34" t="n">
        <f aca="false">IF(C16="EH 40 EE",0.1,IF(C16="EH 55 EE",0.05,0))</f>
        <v>0.05</v>
      </c>
    </row>
    <row r="21" customFormat="false" ht="15" hidden="false" customHeight="false" outlineLevel="0" collapsed="false">
      <c r="B21" s="4" t="s">
        <v>622</v>
      </c>
      <c r="C21" s="31" t="n">
        <f aca="false">C19*C20</f>
        <v>7500</v>
      </c>
    </row>
    <row r="22" customFormat="false" ht="15" hidden="false" customHeight="false" outlineLevel="0" collapsed="false">
      <c r="B22" s="4" t="s">
        <v>623</v>
      </c>
      <c r="C22" s="31" t="n">
        <f aca="false">MAX(0,A_Zins_80-A_Zins_KfW261)*C19*A_Zinsbindung</f>
        <v>13500</v>
      </c>
    </row>
    <row r="23" customFormat="false" ht="15" hidden="false" customHeight="false" outlineLevel="0" collapsed="false">
      <c r="B23" s="32" t="s">
        <v>624</v>
      </c>
      <c r="C23" s="33" t="n">
        <f aca="false">C21+C22</f>
        <v>21000</v>
      </c>
    </row>
    <row r="25" customFormat="false" ht="15" hidden="false" customHeight="false" outlineLevel="0" collapsed="false">
      <c r="B25" s="21" t="s">
        <v>625</v>
      </c>
    </row>
    <row r="26" customFormat="false" ht="15" hidden="false" customHeight="false" outlineLevel="0" collapsed="false">
      <c r="B26" s="4" t="s">
        <v>626</v>
      </c>
      <c r="C26" s="13" t="n">
        <f aca="false">10_Beispiel_Luebbecke!$D$105+10_Beispiel_Luebbecke!$D$106+10_Beispiel_Luebbecke!$D$109+10_Beispiel_Luebbecke!$D$110-(SUMIFS(10_Beispiel_Luebbecke!$U$51:$U$101,10_Beispiel_Luebbecke!$B$51:$B$101,"A01",10_Beispiel_Luebbecke!$S$51:$S$101,"JA")+SUMIFS(10_Beispiel_Luebbecke!$U$51:$U$101,10_Beispiel_Luebbecke!$B$51:$B$101,"A02",10_Beispiel_Luebbecke!$S$51:$S$101,"JA"))</f>
        <v>158173.156079661</v>
      </c>
    </row>
    <row r="27" customFormat="false" ht="15" hidden="false" customHeight="false" outlineLevel="0" collapsed="false">
      <c r="B27" s="4" t="s">
        <v>627</v>
      </c>
      <c r="C27" s="31" t="n">
        <f aca="false">IF(10_Beispiel_Luebbecke!$C$22="Ja",60000,30000)</f>
        <v>60000</v>
      </c>
    </row>
    <row r="28" customFormat="false" ht="15" hidden="false" customHeight="false" outlineLevel="0" collapsed="false">
      <c r="B28" s="4" t="s">
        <v>628</v>
      </c>
      <c r="C28" s="34" t="n">
        <f aca="false">IF(10_Beispiel_Luebbecke!$C$22="Ja",0.2,0.15)</f>
        <v>0.2</v>
      </c>
    </row>
    <row r="29" customFormat="false" ht="15" hidden="false" customHeight="false" outlineLevel="0" collapsed="false">
      <c r="B29" s="4" t="s">
        <v>629</v>
      </c>
      <c r="C29" s="31" t="n">
        <f aca="false">MIN(C26,C27)*C28</f>
        <v>12000</v>
      </c>
    </row>
    <row r="30" customFormat="false" ht="15" hidden="false" customHeight="false" outlineLevel="0" collapsed="false">
      <c r="B30" s="4" t="s">
        <v>630</v>
      </c>
      <c r="C30" s="13" t="n">
        <f aca="false">SUMIFS(10_Beispiel_Luebbecke!$U$51:$U$101,10_Beispiel_Luebbecke!$B$51:$B$101,"A01",10_Beispiel_Luebbecke!$S$51:$S$101,"JA")+SUMIFS(10_Beispiel_Luebbecke!$U$51:$U$101,10_Beispiel_Luebbecke!$B$51:$B$101,"A02",10_Beispiel_Luebbecke!$S$51:$S$101,"JA")</f>
        <v>23884.6153846154</v>
      </c>
    </row>
    <row r="31" customFormat="false" ht="15" hidden="false" customHeight="false" outlineLevel="0" collapsed="false">
      <c r="B31" s="4" t="s">
        <v>631</v>
      </c>
      <c r="C31" s="34" t="n">
        <f aca="false">IF(A_Einkommen&lt;=30000,0.4,IF(A_Einkommen&lt;=40000,0.3,IF(A_Einkommen&lt;=50000,0.1,0)))</f>
        <v>0</v>
      </c>
    </row>
    <row r="32" customFormat="false" ht="15" hidden="false" customHeight="false" outlineLevel="0" collapsed="false">
      <c r="B32" s="4" t="s">
        <v>632</v>
      </c>
      <c r="C32" s="34" t="n">
        <f aca="false">MIN(0.3+0.16+C31,IF(A_Einkommen&lt;=30000,0.8,0.7))</f>
        <v>0.46</v>
      </c>
    </row>
    <row r="33" customFormat="false" ht="15" hidden="false" customHeight="false" outlineLevel="0" collapsed="false">
      <c r="B33" s="4" t="s">
        <v>633</v>
      </c>
      <c r="C33" s="31" t="n">
        <f aca="false">MIN(C30,28000)*C32</f>
        <v>10986.9230769231</v>
      </c>
    </row>
    <row r="34" customFormat="false" ht="15" hidden="false" customHeight="false" outlineLevel="0" collapsed="false">
      <c r="B34" s="4" t="s">
        <v>634</v>
      </c>
      <c r="C34" s="13" t="n">
        <f aca="false">MIN(10_Beispiel_Luebbecke!$J$99*0.5,5000)</f>
        <v>2841.86657196415</v>
      </c>
    </row>
    <row r="35" customFormat="false" ht="15" hidden="false" customHeight="false" outlineLevel="0" collapsed="false">
      <c r="B35" s="4" t="s">
        <v>635</v>
      </c>
      <c r="C35" s="13" t="n">
        <f aca="false">MIN(10_Beispiel_Luebbecke!$J$98*0.5,650)</f>
        <v>650</v>
      </c>
    </row>
    <row r="36" customFormat="false" ht="15" hidden="false" customHeight="false" outlineLevel="0" collapsed="false">
      <c r="B36" s="4" t="s">
        <v>636</v>
      </c>
      <c r="C36" s="31" t="n">
        <f aca="false">MAX(0,A_Zins_80-A_Zins_KfW358)*MIN(C13,120000)*A_Zinsbindung</f>
        <v>16800</v>
      </c>
    </row>
    <row r="37" customFormat="false" ht="15" hidden="false" customHeight="false" outlineLevel="0" collapsed="false">
      <c r="B37" s="32" t="s">
        <v>637</v>
      </c>
      <c r="C37" s="33" t="n">
        <f aca="false">C29+C33+C34+C35+C36</f>
        <v>43278.7896488872</v>
      </c>
    </row>
    <row r="39" customFormat="false" ht="15" hidden="false" customHeight="false" outlineLevel="0" collapsed="false">
      <c r="B39" s="4" t="s">
        <v>638</v>
      </c>
      <c r="C39" s="4" t="str">
        <f aca="false">IF(C23&gt;C37,"Weg A (Effizienzhaus)","Weg B (Einzelmaßnahmen)")</f>
        <v>Weg B (Einzelmaßnahmen)</v>
      </c>
    </row>
    <row r="40" customFormat="false" ht="15" hidden="false" customHeight="false" outlineLevel="0" collapsed="false">
      <c r="B40" s="4" t="s">
        <v>639</v>
      </c>
      <c r="C40" s="31" t="n">
        <f aca="false">ABS(C23-C37)</f>
        <v>22278.7896488872</v>
      </c>
    </row>
    <row r="41" customFormat="false" ht="15" hidden="false" customHeight="false" outlineLevel="0" collapsed="false">
      <c r="B41" s="4" t="s">
        <v>640</v>
      </c>
      <c r="C41" s="12" t="str">
        <f aca="false">10_Beispiel_Luebbecke!$C$23</f>
        <v>Automatik (Empfehlung)</v>
      </c>
    </row>
    <row r="42" customFormat="false" ht="15" hidden="false" customHeight="false" outlineLevel="0" collapsed="false">
      <c r="B42" s="32" t="s">
        <v>641</v>
      </c>
      <c r="C42" s="33" t="n">
        <f aca="false">IF(C41="Automatik (Empfehlung)",MAX(C23,C37),IF(C41="Weg A (Effizienzhaus)",C23,C37))</f>
        <v>43278.7896488872</v>
      </c>
    </row>
    <row r="43" customFormat="false" ht="15" hidden="false" customHeight="false" outlineLevel="0" collapsed="false">
      <c r="B43" s="4" t="s">
        <v>642</v>
      </c>
      <c r="C43" s="31" t="n">
        <f aca="false">IF(OR(C41="Weg A (Effizienzhaus)",AND(C41="Automatik (Empfehlung)",C23&gt;=C37)),C19,MIN(C13,120000))</f>
        <v>120000</v>
      </c>
    </row>
    <row r="44" customFormat="false" ht="15" hidden="false" customHeight="false" outlineLevel="0" collapsed="false">
      <c r="B44" s="4" t="s">
        <v>643</v>
      </c>
      <c r="C44" s="34" t="n">
        <f aca="false">IF(OR(C41="Weg A (Effizienzhaus)",AND(C41="Automatik (Empfehlung)",C23&gt;=C37)),A_Zins_KfW261,A_Zins_KfW358)</f>
        <v>0.025</v>
      </c>
    </row>
    <row r="46" customFormat="false" ht="15" hidden="false" customHeight="false" outlineLevel="0" collapsed="false">
      <c r="B46" s="14" t="s">
        <v>644</v>
      </c>
      <c r="C46" s="14"/>
      <c r="D46" s="14"/>
      <c r="E46" s="14"/>
    </row>
    <row r="47" customFormat="false" ht="15" hidden="false" customHeight="false" outlineLevel="0" collapsed="false">
      <c r="B47" s="32" t="s">
        <v>645</v>
      </c>
      <c r="C47" s="33" t="n">
        <f aca="false">C8+C13-C42</f>
        <v>635179.030452508</v>
      </c>
    </row>
    <row r="48" customFormat="false" ht="15" hidden="false" customHeight="false" outlineLevel="0" collapsed="false">
      <c r="B48" s="4" t="s">
        <v>646</v>
      </c>
      <c r="C48" s="31" t="n">
        <f aca="false">SUMPRODUCT((10_Beispiel_Luebbecke!$S$51:$S$101="JA")*10_Beispiel_Luebbecke!$J$51:$J$101*(1+A_Baupreis)^(10_Beispiel_Luebbecke!$Q$51:$Q$101-A_Jahr))</f>
        <v>327089.750090531</v>
      </c>
    </row>
    <row r="49" customFormat="false" ht="15" hidden="false" customHeight="false" outlineLevel="0" collapsed="false">
      <c r="B49" s="4" t="s">
        <v>647</v>
      </c>
      <c r="C49" s="31" t="n">
        <f aca="false">SUMPRODUCT((10_Beispiel_Luebbecke!$S$51:$S$101="JA")*10_Beispiel_Luebbecke!$J$51:$J$101*(1+A_Baupreis)^(10_Beispiel_Luebbecke!$Q$51:$Q$101-A_Jahr)/(1+A_Diskont)^(10_Beispiel_Luebbecke!$Q$51:$Q$101-A_Jahr))</f>
        <v>327089.750090531</v>
      </c>
    </row>
    <row r="51" customFormat="false" ht="15" hidden="false" customHeight="false" outlineLevel="0" collapsed="false">
      <c r="B51" s="14" t="s">
        <v>648</v>
      </c>
      <c r="C51" s="14"/>
      <c r="D51" s="14"/>
      <c r="E51" s="14"/>
    </row>
    <row r="52" customFormat="false" ht="15" hidden="false" customHeight="false" outlineLevel="0" collapsed="false">
      <c r="B52" s="4" t="s">
        <v>649</v>
      </c>
      <c r="C52" s="31" t="n">
        <f aca="false">10_Beispiel_Luebbecke!$C$32</f>
        <v>71400</v>
      </c>
    </row>
    <row r="53" customFormat="false" ht="15" hidden="false" customHeight="false" outlineLevel="0" collapsed="false">
      <c r="B53" s="4" t="s">
        <v>650</v>
      </c>
      <c r="C53" s="31" t="n">
        <f aca="false">C4-10_Beispiel_Luebbecke!$C$32</f>
        <v>207600</v>
      </c>
    </row>
    <row r="54" customFormat="false" ht="15" hidden="false" customHeight="false" outlineLevel="0" collapsed="false">
      <c r="B54" s="4" t="s">
        <v>608</v>
      </c>
      <c r="C54" s="31" t="n">
        <f aca="false">C5+C6+C7</f>
        <v>33117.3</v>
      </c>
    </row>
    <row r="55" customFormat="false" ht="15" hidden="false" customHeight="false" outlineLevel="0" collapsed="false">
      <c r="B55" s="4" t="s">
        <v>651</v>
      </c>
      <c r="C55" s="31" t="n">
        <f aca="false">10_Beispiel_Luebbecke!$C$105</f>
        <v>127387.156079661</v>
      </c>
    </row>
    <row r="56" customFormat="false" ht="15" hidden="false" customHeight="false" outlineLevel="0" collapsed="false">
      <c r="B56" s="4" t="s">
        <v>652</v>
      </c>
      <c r="C56" s="31" t="n">
        <f aca="false">10_Beispiel_Luebbecke!$C$106</f>
        <v>62070.6153846154</v>
      </c>
    </row>
    <row r="57" customFormat="false" ht="15" hidden="false" customHeight="false" outlineLevel="0" collapsed="false">
      <c r="B57" s="4" t="s">
        <v>653</v>
      </c>
      <c r="C57" s="31" t="n">
        <f aca="false">10_Beispiel_Luebbecke!$C$107</f>
        <v>106237.836391417</v>
      </c>
    </row>
    <row r="58" customFormat="false" ht="15" hidden="false" customHeight="false" outlineLevel="0" collapsed="false">
      <c r="B58" s="4" t="s">
        <v>654</v>
      </c>
      <c r="C58" s="31" t="n">
        <f aca="false">10_Beispiel_Luebbecke!$C$109+10_Beispiel_Luebbecke!$C$110</f>
        <v>18240.4090909091</v>
      </c>
    </row>
    <row r="59" customFormat="false" ht="15" hidden="false" customHeight="false" outlineLevel="0" collapsed="false">
      <c r="B59" s="4" t="s">
        <v>655</v>
      </c>
      <c r="C59" s="31" t="n">
        <f aca="false">10_Beispiel_Luebbecke!$C$108+10_Beispiel_Luebbecke!$C$111+10_Beispiel_Luebbecke!$C$112</f>
        <v>13153.7331439283</v>
      </c>
    </row>
    <row r="60" customFormat="false" ht="15" hidden="false" customHeight="false" outlineLevel="0" collapsed="false">
      <c r="B60" s="4" t="s">
        <v>656</v>
      </c>
      <c r="C60" s="31" t="n">
        <f aca="false">C12</f>
        <v>39250.7700108638</v>
      </c>
    </row>
  </sheetData>
  <mergeCells count="5">
    <mergeCell ref="B3:E3"/>
    <mergeCell ref="B10:E10"/>
    <mergeCell ref="B15:E15"/>
    <mergeCell ref="B46:E46"/>
    <mergeCell ref="B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I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6"/>
    <col collapsed="false" customWidth="true" hidden="false" outlineLevel="0" max="4" min="4" style="0" width="10"/>
    <col collapsed="false" customWidth="true" hidden="false" outlineLevel="0" max="7" min="5" style="0" width="14"/>
    <col collapsed="false" customWidth="true" hidden="false" outlineLevel="0" max="8" min="8" style="0" width="16"/>
    <col collapsed="false" customWidth="true" hidden="false" outlineLevel="0" max="9" min="9" style="0" width="20"/>
  </cols>
  <sheetData>
    <row r="1" customFormat="false" ht="17.35" hidden="false" customHeight="false" outlineLevel="0" collapsed="false">
      <c r="B1" s="1" t="s">
        <v>657</v>
      </c>
    </row>
    <row r="3" customFormat="false" ht="15" hidden="false" customHeight="false" outlineLevel="0" collapsed="false">
      <c r="B3" s="14" t="s">
        <v>658</v>
      </c>
      <c r="C3" s="14"/>
      <c r="D3" s="14"/>
      <c r="E3" s="14"/>
    </row>
    <row r="4" customFormat="false" ht="15" hidden="false" customHeight="false" outlineLevel="0" collapsed="false">
      <c r="B4" s="4" t="s">
        <v>659</v>
      </c>
      <c r="C4" s="13" t="n">
        <f aca="false">11_Beispiel_Luebbecke!$C$47</f>
        <v>635179.030452508</v>
      </c>
    </row>
    <row r="5" customFormat="false" ht="15" hidden="false" customHeight="false" outlineLevel="0" collapsed="false">
      <c r="B5" s="4" t="s">
        <v>660</v>
      </c>
      <c r="C5" s="31" t="n">
        <f aca="false">A_EK</f>
        <v>100000</v>
      </c>
    </row>
    <row r="6" customFormat="false" ht="15" hidden="false" customHeight="false" outlineLevel="0" collapsed="false">
      <c r="B6" s="32" t="s">
        <v>661</v>
      </c>
      <c r="C6" s="33" t="n">
        <f aca="false">MAX(0,C4-C5)</f>
        <v>535179.030452508</v>
      </c>
    </row>
    <row r="8" customFormat="false" ht="15" hidden="false" customHeight="false" outlineLevel="0" collapsed="false">
      <c r="B8" s="21" t="s">
        <v>662</v>
      </c>
    </row>
    <row r="9" customFormat="false" ht="15" hidden="false" customHeight="false" outlineLevel="0" collapsed="false">
      <c r="B9" s="4" t="s">
        <v>663</v>
      </c>
      <c r="C9" s="31" t="n">
        <f aca="false">MIN(C6,11_Beispiel_Luebbecke!$C$43)</f>
        <v>120000</v>
      </c>
    </row>
    <row r="10" customFormat="false" ht="15" hidden="false" customHeight="false" outlineLevel="0" collapsed="false">
      <c r="B10" s="4" t="s">
        <v>664</v>
      </c>
      <c r="C10" s="35" t="n">
        <f aca="false">11_Beispiel_Luebbecke!$C$44</f>
        <v>0.025</v>
      </c>
    </row>
    <row r="11" customFormat="false" ht="15" hidden="false" customHeight="false" outlineLevel="0" collapsed="false">
      <c r="B11" s="4" t="s">
        <v>665</v>
      </c>
      <c r="C11" s="36" t="n">
        <f aca="false">A_KfW_tf</f>
        <v>2</v>
      </c>
    </row>
    <row r="13" customFormat="false" ht="15" hidden="false" customHeight="false" outlineLevel="0" collapsed="false">
      <c r="B13" s="21" t="s">
        <v>666</v>
      </c>
    </row>
    <row r="14" customFormat="false" ht="15" hidden="false" customHeight="false" outlineLevel="0" collapsed="false">
      <c r="B14" s="4" t="s">
        <v>667</v>
      </c>
      <c r="C14" s="31" t="n">
        <f aca="false">C6-C9</f>
        <v>415179.030452508</v>
      </c>
    </row>
    <row r="15" customFormat="false" ht="15" hidden="false" customHeight="false" outlineLevel="0" collapsed="false">
      <c r="B15" s="4" t="s">
        <v>668</v>
      </c>
      <c r="C15" s="34" t="n">
        <f aca="false">C6/(11_Beispiel_Luebbecke!$C$8+11_Beispiel_Luebbecke!$C$13)</f>
        <v>0.788816953090062</v>
      </c>
    </row>
    <row r="16" customFormat="false" ht="15" hidden="false" customHeight="false" outlineLevel="0" collapsed="false">
      <c r="B16" s="4" t="s">
        <v>669</v>
      </c>
      <c r="C16" s="34" t="n">
        <f aca="false">IF(C15&lt;=0.7,A_Zins_60,IF(C15&lt;=0.8,A_Zins_80,A_Zins_100))</f>
        <v>0.039</v>
      </c>
    </row>
    <row r="17" customFormat="false" ht="15" hidden="false" customHeight="false" outlineLevel="0" collapsed="false">
      <c r="B17" s="4" t="s">
        <v>670</v>
      </c>
      <c r="C17" s="34" t="n">
        <f aca="false">C16-IF(OR(11_Beispiel_Luebbecke!$C$16="EH 55 EE",11_Beispiel_Luebbecke!$C$16="EH 40 EE"),A_Zins_green,0)</f>
        <v>0.0375</v>
      </c>
    </row>
    <row r="20" customFormat="false" ht="15" hidden="false" customHeight="false" outlineLevel="0" collapsed="false">
      <c r="B20" s="14" t="s">
        <v>671</v>
      </c>
      <c r="C20" s="14"/>
      <c r="D20" s="14"/>
      <c r="E20" s="14"/>
    </row>
    <row r="21" customFormat="false" ht="15" hidden="false" customHeight="false" outlineLevel="0" collapsed="false">
      <c r="B21" s="4" t="s">
        <v>672</v>
      </c>
      <c r="C21" s="31" t="n">
        <f aca="false">C9*(C10+A_Tilgung)</f>
        <v>6000</v>
      </c>
    </row>
    <row r="22" customFormat="false" ht="15" hidden="false" customHeight="false" outlineLevel="0" collapsed="false">
      <c r="B22" s="4" t="s">
        <v>673</v>
      </c>
      <c r="C22" s="31" t="n">
        <f aca="false">C14*(C17+A_Tilgung)</f>
        <v>25948.6894032817</v>
      </c>
    </row>
    <row r="23" customFormat="false" ht="15" hidden="false" customHeight="false" outlineLevel="0" collapsed="false">
      <c r="B23" s="4" t="s">
        <v>674</v>
      </c>
      <c r="C23" s="31" t="n">
        <f aca="false">(C21+C22)/12</f>
        <v>2662.39078360681</v>
      </c>
    </row>
    <row r="25" customFormat="false" ht="15" hidden="false" customHeight="false" outlineLevel="0" collapsed="false">
      <c r="B25" s="14" t="s">
        <v>675</v>
      </c>
      <c r="C25" s="14"/>
      <c r="D25" s="14"/>
      <c r="E25" s="14"/>
      <c r="F25" s="14"/>
      <c r="G25" s="14"/>
      <c r="H25" s="14"/>
      <c r="I25" s="14"/>
    </row>
    <row r="26" customFormat="false" ht="23.85" hidden="false" customHeight="false" outlineLevel="0" collapsed="false">
      <c r="B26" s="11" t="s">
        <v>51</v>
      </c>
      <c r="C26" s="11" t="s">
        <v>676</v>
      </c>
      <c r="D26" s="11" t="s">
        <v>677</v>
      </c>
      <c r="E26" s="11" t="s">
        <v>678</v>
      </c>
      <c r="F26" s="11" t="s">
        <v>679</v>
      </c>
      <c r="G26" s="11" t="s">
        <v>680</v>
      </c>
      <c r="H26" s="11" t="s">
        <v>681</v>
      </c>
      <c r="I26" s="11" t="s">
        <v>682</v>
      </c>
    </row>
    <row r="27" customFormat="false" ht="15" hidden="false" customHeight="false" outlineLevel="0" collapsed="false">
      <c r="B27" s="36" t="n">
        <v>1</v>
      </c>
      <c r="C27" s="31" t="n">
        <f aca="false">C9</f>
        <v>120000</v>
      </c>
      <c r="D27" s="34" t="n">
        <f aca="false">IF($B27&lt;=A_Zinsbindung,$C$10,A_Zins_Anschluss)</f>
        <v>0.025</v>
      </c>
      <c r="E27" s="31" t="n">
        <f aca="false">IF($B27&lt;=A_Laufzeit,C27*D27,0)</f>
        <v>3000</v>
      </c>
      <c r="F27" s="31" t="n">
        <f aca="false">IF($B27&lt;=A_Laufzeit,G27-E27,0)</f>
        <v>0</v>
      </c>
      <c r="G27" s="31" t="n">
        <f aca="false">IF($B27&lt;=A_Laufzeit,IF($B27&lt;=A_KfW_tf,E27,$C$21),0)</f>
        <v>3000</v>
      </c>
      <c r="H27" s="31" t="n">
        <f aca="false">MAX(0,C27-F27)</f>
        <v>120000</v>
      </c>
      <c r="I27" s="31" t="n">
        <f aca="false">IF($B27&lt;=A_Laufzeit,C27*MAX(0,$C$16-D27),0)</f>
        <v>1680</v>
      </c>
    </row>
    <row r="28" customFormat="false" ht="15" hidden="false" customHeight="false" outlineLevel="0" collapsed="false">
      <c r="B28" s="36" t="n">
        <v>2</v>
      </c>
      <c r="C28" s="31" t="n">
        <f aca="false">H27</f>
        <v>120000</v>
      </c>
      <c r="D28" s="34" t="n">
        <f aca="false">IF($B28&lt;=A_Zinsbindung,$C$10,A_Zins_Anschluss)</f>
        <v>0.025</v>
      </c>
      <c r="E28" s="31" t="n">
        <f aca="false">IF($B28&lt;=A_Laufzeit,C28*D28,0)</f>
        <v>3000</v>
      </c>
      <c r="F28" s="31" t="n">
        <f aca="false">IF($B28&lt;=A_Laufzeit,G28-E28,0)</f>
        <v>0</v>
      </c>
      <c r="G28" s="31" t="n">
        <f aca="false">IF($B28&lt;=A_Laufzeit,IF($B28&lt;=A_KfW_tf,E28,$C$21),0)</f>
        <v>3000</v>
      </c>
      <c r="H28" s="31" t="n">
        <f aca="false">MAX(0,C28-F28)</f>
        <v>120000</v>
      </c>
      <c r="I28" s="31" t="n">
        <f aca="false">IF($B28&lt;=A_Laufzeit,C28*MAX(0,$C$16-D28),0)</f>
        <v>1680</v>
      </c>
    </row>
    <row r="29" customFormat="false" ht="15" hidden="false" customHeight="false" outlineLevel="0" collapsed="false">
      <c r="B29" s="36" t="n">
        <v>3</v>
      </c>
      <c r="C29" s="31" t="n">
        <f aca="false">H28</f>
        <v>120000</v>
      </c>
      <c r="D29" s="34" t="n">
        <f aca="false">IF($B29&lt;=A_Zinsbindung,$C$10,A_Zins_Anschluss)</f>
        <v>0.025</v>
      </c>
      <c r="E29" s="31" t="n">
        <f aca="false">IF($B29&lt;=A_Laufzeit,C29*D29,0)</f>
        <v>3000</v>
      </c>
      <c r="F29" s="31" t="n">
        <f aca="false">IF($B29&lt;=A_Laufzeit,G29-E29,0)</f>
        <v>3000</v>
      </c>
      <c r="G29" s="31" t="n">
        <f aca="false">IF($B29&lt;=A_Laufzeit,IF($B29&lt;=A_KfW_tf,E29,$C$21),0)</f>
        <v>6000</v>
      </c>
      <c r="H29" s="31" t="n">
        <f aca="false">MAX(0,C29-F29)</f>
        <v>117000</v>
      </c>
      <c r="I29" s="31" t="n">
        <f aca="false">IF($B29&lt;=A_Laufzeit,C29*MAX(0,$C$16-D29),0)</f>
        <v>1680</v>
      </c>
    </row>
    <row r="30" customFormat="false" ht="15" hidden="false" customHeight="false" outlineLevel="0" collapsed="false">
      <c r="B30" s="36" t="n">
        <v>4</v>
      </c>
      <c r="C30" s="31" t="n">
        <f aca="false">H29</f>
        <v>117000</v>
      </c>
      <c r="D30" s="34" t="n">
        <f aca="false">IF($B30&lt;=A_Zinsbindung,$C$10,A_Zins_Anschluss)</f>
        <v>0.025</v>
      </c>
      <c r="E30" s="31" t="n">
        <f aca="false">IF($B30&lt;=A_Laufzeit,C30*D30,0)</f>
        <v>2925</v>
      </c>
      <c r="F30" s="31" t="n">
        <f aca="false">IF($B30&lt;=A_Laufzeit,G30-E30,0)</f>
        <v>3075</v>
      </c>
      <c r="G30" s="31" t="n">
        <f aca="false">IF($B30&lt;=A_Laufzeit,IF($B30&lt;=A_KfW_tf,E30,$C$21),0)</f>
        <v>6000</v>
      </c>
      <c r="H30" s="31" t="n">
        <f aca="false">MAX(0,C30-F30)</f>
        <v>113925</v>
      </c>
      <c r="I30" s="31" t="n">
        <f aca="false">IF($B30&lt;=A_Laufzeit,C30*MAX(0,$C$16-D30),0)</f>
        <v>1638</v>
      </c>
    </row>
    <row r="31" customFormat="false" ht="15" hidden="false" customHeight="false" outlineLevel="0" collapsed="false">
      <c r="B31" s="36" t="n">
        <v>5</v>
      </c>
      <c r="C31" s="31" t="n">
        <f aca="false">H30</f>
        <v>113925</v>
      </c>
      <c r="D31" s="34" t="n">
        <f aca="false">IF($B31&lt;=A_Zinsbindung,$C$10,A_Zins_Anschluss)</f>
        <v>0.025</v>
      </c>
      <c r="E31" s="31" t="n">
        <f aca="false">IF($B31&lt;=A_Laufzeit,C31*D31,0)</f>
        <v>2848.125</v>
      </c>
      <c r="F31" s="31" t="n">
        <f aca="false">IF($B31&lt;=A_Laufzeit,G31-E31,0)</f>
        <v>3151.875</v>
      </c>
      <c r="G31" s="31" t="n">
        <f aca="false">IF($B31&lt;=A_Laufzeit,IF($B31&lt;=A_KfW_tf,E31,$C$21),0)</f>
        <v>6000</v>
      </c>
      <c r="H31" s="31" t="n">
        <f aca="false">MAX(0,C31-F31)</f>
        <v>110773.125</v>
      </c>
      <c r="I31" s="31" t="n">
        <f aca="false">IF($B31&lt;=A_Laufzeit,C31*MAX(0,$C$16-D31),0)</f>
        <v>1594.95</v>
      </c>
    </row>
    <row r="32" customFormat="false" ht="15" hidden="false" customHeight="false" outlineLevel="0" collapsed="false">
      <c r="B32" s="36" t="n">
        <v>6</v>
      </c>
      <c r="C32" s="31" t="n">
        <f aca="false">H31</f>
        <v>110773.125</v>
      </c>
      <c r="D32" s="34" t="n">
        <f aca="false">IF($B32&lt;=A_Zinsbindung,$C$10,A_Zins_Anschluss)</f>
        <v>0.025</v>
      </c>
      <c r="E32" s="31" t="n">
        <f aca="false">IF($B32&lt;=A_Laufzeit,C32*D32,0)</f>
        <v>2769.328125</v>
      </c>
      <c r="F32" s="31" t="n">
        <f aca="false">IF($B32&lt;=A_Laufzeit,G32-E32,0)</f>
        <v>3230.671875</v>
      </c>
      <c r="G32" s="31" t="n">
        <f aca="false">IF($B32&lt;=A_Laufzeit,IF($B32&lt;=A_KfW_tf,E32,$C$21),0)</f>
        <v>6000</v>
      </c>
      <c r="H32" s="31" t="n">
        <f aca="false">MAX(0,C32-F32)</f>
        <v>107542.453125</v>
      </c>
      <c r="I32" s="31" t="n">
        <f aca="false">IF($B32&lt;=A_Laufzeit,C32*MAX(0,$C$16-D32),0)</f>
        <v>1550.82375</v>
      </c>
    </row>
    <row r="33" customFormat="false" ht="15" hidden="false" customHeight="false" outlineLevel="0" collapsed="false">
      <c r="B33" s="36" t="n">
        <v>7</v>
      </c>
      <c r="C33" s="31" t="n">
        <f aca="false">H32</f>
        <v>107542.453125</v>
      </c>
      <c r="D33" s="34" t="n">
        <f aca="false">IF($B33&lt;=A_Zinsbindung,$C$10,A_Zins_Anschluss)</f>
        <v>0.025</v>
      </c>
      <c r="E33" s="31" t="n">
        <f aca="false">IF($B33&lt;=A_Laufzeit,C33*D33,0)</f>
        <v>2688.561328125</v>
      </c>
      <c r="F33" s="31" t="n">
        <f aca="false">IF($B33&lt;=A_Laufzeit,G33-E33,0)</f>
        <v>3311.438671875</v>
      </c>
      <c r="G33" s="31" t="n">
        <f aca="false">IF($B33&lt;=A_Laufzeit,IF($B33&lt;=A_KfW_tf,E33,$C$21),0)</f>
        <v>6000</v>
      </c>
      <c r="H33" s="31" t="n">
        <f aca="false">MAX(0,C33-F33)</f>
        <v>104231.014453125</v>
      </c>
      <c r="I33" s="31" t="n">
        <f aca="false">IF($B33&lt;=A_Laufzeit,C33*MAX(0,$C$16-D33),0)</f>
        <v>1505.59434375</v>
      </c>
    </row>
    <row r="34" customFormat="false" ht="15" hidden="false" customHeight="false" outlineLevel="0" collapsed="false">
      <c r="B34" s="36" t="n">
        <v>8</v>
      </c>
      <c r="C34" s="31" t="n">
        <f aca="false">H33</f>
        <v>104231.014453125</v>
      </c>
      <c r="D34" s="34" t="n">
        <f aca="false">IF($B34&lt;=A_Zinsbindung,$C$10,A_Zins_Anschluss)</f>
        <v>0.025</v>
      </c>
      <c r="E34" s="31" t="n">
        <f aca="false">IF($B34&lt;=A_Laufzeit,C34*D34,0)</f>
        <v>2605.77536132813</v>
      </c>
      <c r="F34" s="31" t="n">
        <f aca="false">IF($B34&lt;=A_Laufzeit,G34-E34,0)</f>
        <v>3394.22463867188</v>
      </c>
      <c r="G34" s="31" t="n">
        <f aca="false">IF($B34&lt;=A_Laufzeit,IF($B34&lt;=A_KfW_tf,E34,$C$21),0)</f>
        <v>6000</v>
      </c>
      <c r="H34" s="31" t="n">
        <f aca="false">MAX(0,C34-F34)</f>
        <v>100836.789814453</v>
      </c>
      <c r="I34" s="31" t="n">
        <f aca="false">IF($B34&lt;=A_Laufzeit,C34*MAX(0,$C$16-D34),0)</f>
        <v>1459.23420234375</v>
      </c>
    </row>
    <row r="35" customFormat="false" ht="15" hidden="false" customHeight="false" outlineLevel="0" collapsed="false">
      <c r="B35" s="36" t="n">
        <v>9</v>
      </c>
      <c r="C35" s="31" t="n">
        <f aca="false">H34</f>
        <v>100836.789814453</v>
      </c>
      <c r="D35" s="34" t="n">
        <f aca="false">IF($B35&lt;=A_Zinsbindung,$C$10,A_Zins_Anschluss)</f>
        <v>0.025</v>
      </c>
      <c r="E35" s="31" t="n">
        <f aca="false">IF($B35&lt;=A_Laufzeit,C35*D35,0)</f>
        <v>2520.91974536133</v>
      </c>
      <c r="F35" s="31" t="n">
        <f aca="false">IF($B35&lt;=A_Laufzeit,G35-E35,0)</f>
        <v>3479.08025463867</v>
      </c>
      <c r="G35" s="31" t="n">
        <f aca="false">IF($B35&lt;=A_Laufzeit,IF($B35&lt;=A_KfW_tf,E35,$C$21),0)</f>
        <v>6000</v>
      </c>
      <c r="H35" s="31" t="n">
        <f aca="false">MAX(0,C35-F35)</f>
        <v>97357.7095598145</v>
      </c>
      <c r="I35" s="31" t="n">
        <f aca="false">IF($B35&lt;=A_Laufzeit,C35*MAX(0,$C$16-D35),0)</f>
        <v>1411.71505740234</v>
      </c>
    </row>
    <row r="36" customFormat="false" ht="15" hidden="false" customHeight="false" outlineLevel="0" collapsed="false">
      <c r="B36" s="36" t="n">
        <v>10</v>
      </c>
      <c r="C36" s="31" t="n">
        <f aca="false">H35</f>
        <v>97357.7095598145</v>
      </c>
      <c r="D36" s="34" t="n">
        <f aca="false">IF($B36&lt;=A_Zinsbindung,$C$10,A_Zins_Anschluss)</f>
        <v>0.025</v>
      </c>
      <c r="E36" s="31" t="n">
        <f aca="false">IF($B36&lt;=A_Laufzeit,C36*D36,0)</f>
        <v>2433.94273899536</v>
      </c>
      <c r="F36" s="31" t="n">
        <f aca="false">IF($B36&lt;=A_Laufzeit,G36-E36,0)</f>
        <v>3566.05726100464</v>
      </c>
      <c r="G36" s="31" t="n">
        <f aca="false">IF($B36&lt;=A_Laufzeit,IF($B36&lt;=A_KfW_tf,E36,$C$21),0)</f>
        <v>6000</v>
      </c>
      <c r="H36" s="31" t="n">
        <f aca="false">MAX(0,C36-F36)</f>
        <v>93791.6522988098</v>
      </c>
      <c r="I36" s="31" t="n">
        <f aca="false">IF($B36&lt;=A_Laufzeit,C36*MAX(0,$C$16-D36),0)</f>
        <v>1363.0079338374</v>
      </c>
    </row>
    <row r="37" customFormat="false" ht="15" hidden="false" customHeight="false" outlineLevel="0" collapsed="false">
      <c r="B37" s="36" t="n">
        <v>11</v>
      </c>
      <c r="C37" s="31" t="n">
        <f aca="false">H36</f>
        <v>93791.6522988098</v>
      </c>
      <c r="D37" s="34" t="n">
        <f aca="false">IF($B37&lt;=A_Zinsbindung,$C$10,A_Zins_Anschluss)</f>
        <v>0.045</v>
      </c>
      <c r="E37" s="31" t="n">
        <f aca="false">IF($B37&lt;=A_Laufzeit,C37*D37,0)</f>
        <v>4220.62435344644</v>
      </c>
      <c r="F37" s="31" t="n">
        <f aca="false">IF($B37&lt;=A_Laufzeit,G37-E37,0)</f>
        <v>1779.37564655356</v>
      </c>
      <c r="G37" s="31" t="n">
        <f aca="false">IF($B37&lt;=A_Laufzeit,IF($B37&lt;=A_KfW_tf,E37,$C$21),0)</f>
        <v>6000</v>
      </c>
      <c r="H37" s="31" t="n">
        <f aca="false">MAX(0,C37-F37)</f>
        <v>92012.2766522563</v>
      </c>
      <c r="I37" s="31" t="n">
        <f aca="false">IF($B37&lt;=A_Laufzeit,C37*MAX(0,$C$16-D37),0)</f>
        <v>0</v>
      </c>
    </row>
    <row r="38" customFormat="false" ht="15" hidden="false" customHeight="false" outlineLevel="0" collapsed="false">
      <c r="B38" s="36" t="n">
        <v>12</v>
      </c>
      <c r="C38" s="31" t="n">
        <f aca="false">H37</f>
        <v>92012.2766522563</v>
      </c>
      <c r="D38" s="34" t="n">
        <f aca="false">IF($B38&lt;=A_Zinsbindung,$C$10,A_Zins_Anschluss)</f>
        <v>0.045</v>
      </c>
      <c r="E38" s="31" t="n">
        <f aca="false">IF($B38&lt;=A_Laufzeit,C38*D38,0)</f>
        <v>4140.55244935153</v>
      </c>
      <c r="F38" s="31" t="n">
        <f aca="false">IF($B38&lt;=A_Laufzeit,G38-E38,0)</f>
        <v>1859.44755064847</v>
      </c>
      <c r="G38" s="31" t="n">
        <f aca="false">IF($B38&lt;=A_Laufzeit,IF($B38&lt;=A_KfW_tf,E38,$C$21),0)</f>
        <v>6000</v>
      </c>
      <c r="H38" s="31" t="n">
        <f aca="false">MAX(0,C38-F38)</f>
        <v>90152.8291016078</v>
      </c>
      <c r="I38" s="31" t="n">
        <f aca="false">IF($B38&lt;=A_Laufzeit,C38*MAX(0,$C$16-D38),0)</f>
        <v>0</v>
      </c>
    </row>
    <row r="39" customFormat="false" ht="15" hidden="false" customHeight="false" outlineLevel="0" collapsed="false">
      <c r="B39" s="36" t="n">
        <v>13</v>
      </c>
      <c r="C39" s="31" t="n">
        <f aca="false">H38</f>
        <v>90152.8291016078</v>
      </c>
      <c r="D39" s="34" t="n">
        <f aca="false">IF($B39&lt;=A_Zinsbindung,$C$10,A_Zins_Anschluss)</f>
        <v>0.045</v>
      </c>
      <c r="E39" s="31" t="n">
        <f aca="false">IF($B39&lt;=A_Laufzeit,C39*D39,0)</f>
        <v>4056.87730957235</v>
      </c>
      <c r="F39" s="31" t="n">
        <f aca="false">IF($B39&lt;=A_Laufzeit,G39-E39,0)</f>
        <v>1943.12269042765</v>
      </c>
      <c r="G39" s="31" t="n">
        <f aca="false">IF($B39&lt;=A_Laufzeit,IF($B39&lt;=A_KfW_tf,E39,$C$21),0)</f>
        <v>6000</v>
      </c>
      <c r="H39" s="31" t="n">
        <f aca="false">MAX(0,C39-F39)</f>
        <v>88209.7064111801</v>
      </c>
      <c r="I39" s="31" t="n">
        <f aca="false">IF($B39&lt;=A_Laufzeit,C39*MAX(0,$C$16-D39),0)</f>
        <v>0</v>
      </c>
    </row>
    <row r="40" customFormat="false" ht="15" hidden="false" customHeight="false" outlineLevel="0" collapsed="false">
      <c r="B40" s="36" t="n">
        <v>14</v>
      </c>
      <c r="C40" s="31" t="n">
        <f aca="false">H39</f>
        <v>88209.7064111801</v>
      </c>
      <c r="D40" s="34" t="n">
        <f aca="false">IF($B40&lt;=A_Zinsbindung,$C$10,A_Zins_Anschluss)</f>
        <v>0.045</v>
      </c>
      <c r="E40" s="31" t="n">
        <f aca="false">IF($B40&lt;=A_Laufzeit,C40*D40,0)</f>
        <v>3969.43678850311</v>
      </c>
      <c r="F40" s="31" t="n">
        <f aca="false">IF($B40&lt;=A_Laufzeit,G40-E40,0)</f>
        <v>2030.56321149689</v>
      </c>
      <c r="G40" s="31" t="n">
        <f aca="false">IF($B40&lt;=A_Laufzeit,IF($B40&lt;=A_KfW_tf,E40,$C$21),0)</f>
        <v>6000</v>
      </c>
      <c r="H40" s="31" t="n">
        <f aca="false">MAX(0,C40-F40)</f>
        <v>86179.1431996832</v>
      </c>
      <c r="I40" s="31" t="n">
        <f aca="false">IF($B40&lt;=A_Laufzeit,C40*MAX(0,$C$16-D40),0)</f>
        <v>0</v>
      </c>
    </row>
    <row r="41" customFormat="false" ht="15" hidden="false" customHeight="false" outlineLevel="0" collapsed="false">
      <c r="B41" s="36" t="n">
        <v>15</v>
      </c>
      <c r="C41" s="31" t="n">
        <f aca="false">H40</f>
        <v>86179.1431996832</v>
      </c>
      <c r="D41" s="34" t="n">
        <f aca="false">IF($B41&lt;=A_Zinsbindung,$C$10,A_Zins_Anschluss)</f>
        <v>0.045</v>
      </c>
      <c r="E41" s="31" t="n">
        <f aca="false">IF($B41&lt;=A_Laufzeit,C41*D41,0)</f>
        <v>3878.06144398575</v>
      </c>
      <c r="F41" s="31" t="n">
        <f aca="false">IF($B41&lt;=A_Laufzeit,G41-E41,0)</f>
        <v>2121.93855601425</v>
      </c>
      <c r="G41" s="31" t="n">
        <f aca="false">IF($B41&lt;=A_Laufzeit,IF($B41&lt;=A_KfW_tf,E41,$C$21),0)</f>
        <v>6000</v>
      </c>
      <c r="H41" s="31" t="n">
        <f aca="false">MAX(0,C41-F41)</f>
        <v>84057.204643669</v>
      </c>
      <c r="I41" s="31" t="n">
        <f aca="false">IF($B41&lt;=A_Laufzeit,C41*MAX(0,$C$16-D41),0)</f>
        <v>0</v>
      </c>
    </row>
    <row r="42" customFormat="false" ht="15" hidden="false" customHeight="false" outlineLevel="0" collapsed="false">
      <c r="B42" s="36" t="n">
        <v>16</v>
      </c>
      <c r="C42" s="31" t="n">
        <f aca="false">H41</f>
        <v>84057.204643669</v>
      </c>
      <c r="D42" s="34" t="n">
        <f aca="false">IF($B42&lt;=A_Zinsbindung,$C$10,A_Zins_Anschluss)</f>
        <v>0.045</v>
      </c>
      <c r="E42" s="31" t="n">
        <f aca="false">IF($B42&lt;=A_Laufzeit,C42*D42,0)</f>
        <v>3782.5742089651</v>
      </c>
      <c r="F42" s="31" t="n">
        <f aca="false">IF($B42&lt;=A_Laufzeit,G42-E42,0)</f>
        <v>2217.4257910349</v>
      </c>
      <c r="G42" s="31" t="n">
        <f aca="false">IF($B42&lt;=A_Laufzeit,IF($B42&lt;=A_KfW_tf,E42,$C$21),0)</f>
        <v>6000</v>
      </c>
      <c r="H42" s="31" t="n">
        <f aca="false">MAX(0,C42-F42)</f>
        <v>81839.7788526341</v>
      </c>
      <c r="I42" s="31" t="n">
        <f aca="false">IF($B42&lt;=A_Laufzeit,C42*MAX(0,$C$16-D42),0)</f>
        <v>0</v>
      </c>
    </row>
    <row r="43" customFormat="false" ht="15" hidden="false" customHeight="false" outlineLevel="0" collapsed="false">
      <c r="B43" s="36" t="n">
        <v>17</v>
      </c>
      <c r="C43" s="31" t="n">
        <f aca="false">H42</f>
        <v>81839.7788526341</v>
      </c>
      <c r="D43" s="34" t="n">
        <f aca="false">IF($B43&lt;=A_Zinsbindung,$C$10,A_Zins_Anschluss)</f>
        <v>0.045</v>
      </c>
      <c r="E43" s="31" t="n">
        <f aca="false">IF($B43&lt;=A_Laufzeit,C43*D43,0)</f>
        <v>3682.79004836853</v>
      </c>
      <c r="F43" s="31" t="n">
        <f aca="false">IF($B43&lt;=A_Laufzeit,G43-E43,0)</f>
        <v>2317.20995163147</v>
      </c>
      <c r="G43" s="31" t="n">
        <f aca="false">IF($B43&lt;=A_Laufzeit,IF($B43&lt;=A_KfW_tf,E43,$C$21),0)</f>
        <v>6000</v>
      </c>
      <c r="H43" s="31" t="n">
        <f aca="false">MAX(0,C43-F43)</f>
        <v>79522.5689010026</v>
      </c>
      <c r="I43" s="31" t="n">
        <f aca="false">IF($B43&lt;=A_Laufzeit,C43*MAX(0,$C$16-D43),0)</f>
        <v>0</v>
      </c>
    </row>
    <row r="44" customFormat="false" ht="15" hidden="false" customHeight="false" outlineLevel="0" collapsed="false">
      <c r="B44" s="36" t="n">
        <v>18</v>
      </c>
      <c r="C44" s="31" t="n">
        <f aca="false">H43</f>
        <v>79522.5689010026</v>
      </c>
      <c r="D44" s="34" t="n">
        <f aca="false">IF($B44&lt;=A_Zinsbindung,$C$10,A_Zins_Anschluss)</f>
        <v>0.045</v>
      </c>
      <c r="E44" s="31" t="n">
        <f aca="false">IF($B44&lt;=A_Laufzeit,C44*D44,0)</f>
        <v>3578.51560054512</v>
      </c>
      <c r="F44" s="31" t="n">
        <f aca="false">IF($B44&lt;=A_Laufzeit,G44-E44,0)</f>
        <v>2421.48439945488</v>
      </c>
      <c r="G44" s="31" t="n">
        <f aca="false">IF($B44&lt;=A_Laufzeit,IF($B44&lt;=A_KfW_tf,E44,$C$21),0)</f>
        <v>6000</v>
      </c>
      <c r="H44" s="31" t="n">
        <f aca="false">MAX(0,C44-F44)</f>
        <v>77101.0845015477</v>
      </c>
      <c r="I44" s="31" t="n">
        <f aca="false">IF($B44&lt;=A_Laufzeit,C44*MAX(0,$C$16-D44),0)</f>
        <v>0</v>
      </c>
    </row>
    <row r="45" customFormat="false" ht="15" hidden="false" customHeight="false" outlineLevel="0" collapsed="false">
      <c r="B45" s="36" t="n">
        <v>19</v>
      </c>
      <c r="C45" s="31" t="n">
        <f aca="false">H44</f>
        <v>77101.0845015477</v>
      </c>
      <c r="D45" s="34" t="n">
        <f aca="false">IF($B45&lt;=A_Zinsbindung,$C$10,A_Zins_Anschluss)</f>
        <v>0.045</v>
      </c>
      <c r="E45" s="31" t="n">
        <f aca="false">IF($B45&lt;=A_Laufzeit,C45*D45,0)</f>
        <v>3469.54880256965</v>
      </c>
      <c r="F45" s="31" t="n">
        <f aca="false">IF($B45&lt;=A_Laufzeit,G45-E45,0)</f>
        <v>2530.45119743035</v>
      </c>
      <c r="G45" s="31" t="n">
        <f aca="false">IF($B45&lt;=A_Laufzeit,IF($B45&lt;=A_KfW_tf,E45,$C$21),0)</f>
        <v>6000</v>
      </c>
      <c r="H45" s="31" t="n">
        <f aca="false">MAX(0,C45-F45)</f>
        <v>74570.6333041174</v>
      </c>
      <c r="I45" s="31" t="n">
        <f aca="false">IF($B45&lt;=A_Laufzeit,C45*MAX(0,$C$16-D45),0)</f>
        <v>0</v>
      </c>
    </row>
    <row r="46" customFormat="false" ht="15" hidden="false" customHeight="false" outlineLevel="0" collapsed="false">
      <c r="B46" s="36" t="n">
        <v>20</v>
      </c>
      <c r="C46" s="31" t="n">
        <f aca="false">H45</f>
        <v>74570.6333041174</v>
      </c>
      <c r="D46" s="34" t="n">
        <f aca="false">IF($B46&lt;=A_Zinsbindung,$C$10,A_Zins_Anschluss)</f>
        <v>0.045</v>
      </c>
      <c r="E46" s="31" t="n">
        <f aca="false">IF($B46&lt;=A_Laufzeit,C46*D46,0)</f>
        <v>3355.67849868528</v>
      </c>
      <c r="F46" s="31" t="n">
        <f aca="false">IF($B46&lt;=A_Laufzeit,G46-E46,0)</f>
        <v>2644.32150131472</v>
      </c>
      <c r="G46" s="31" t="n">
        <f aca="false">IF($B46&lt;=A_Laufzeit,IF($B46&lt;=A_KfW_tf,E46,$C$21),0)</f>
        <v>6000</v>
      </c>
      <c r="H46" s="31" t="n">
        <f aca="false">MAX(0,C46-F46)</f>
        <v>71926.3118028027</v>
      </c>
      <c r="I46" s="31" t="n">
        <f aca="false">IF($B46&lt;=A_Laufzeit,C46*MAX(0,$C$16-D46),0)</f>
        <v>0</v>
      </c>
    </row>
    <row r="47" customFormat="false" ht="15" hidden="false" customHeight="false" outlineLevel="0" collapsed="false">
      <c r="B47" s="36" t="n">
        <v>21</v>
      </c>
      <c r="C47" s="31" t="n">
        <f aca="false">H46</f>
        <v>71926.3118028027</v>
      </c>
      <c r="D47" s="34" t="n">
        <f aca="false">IF($B47&lt;=A_Zinsbindung,$C$10,A_Zins_Anschluss)</f>
        <v>0.045</v>
      </c>
      <c r="E47" s="31" t="n">
        <f aca="false">IF($B47&lt;=A_Laufzeit,C47*D47,0)</f>
        <v>3236.68403112612</v>
      </c>
      <c r="F47" s="31" t="n">
        <f aca="false">IF($B47&lt;=A_Laufzeit,G47-E47,0)</f>
        <v>2763.31596887388</v>
      </c>
      <c r="G47" s="31" t="n">
        <f aca="false">IF($B47&lt;=A_Laufzeit,IF($B47&lt;=A_KfW_tf,E47,$C$21),0)</f>
        <v>6000</v>
      </c>
      <c r="H47" s="31" t="n">
        <f aca="false">MAX(0,C47-F47)</f>
        <v>69162.9958339288</v>
      </c>
      <c r="I47" s="31" t="n">
        <f aca="false">IF($B47&lt;=A_Laufzeit,C47*MAX(0,$C$16-D47),0)</f>
        <v>0</v>
      </c>
    </row>
    <row r="48" customFormat="false" ht="15" hidden="false" customHeight="false" outlineLevel="0" collapsed="false">
      <c r="B48" s="36" t="n">
        <v>22</v>
      </c>
      <c r="C48" s="31" t="n">
        <f aca="false">H47</f>
        <v>69162.9958339288</v>
      </c>
      <c r="D48" s="34" t="n">
        <f aca="false">IF($B48&lt;=A_Zinsbindung,$C$10,A_Zins_Anschluss)</f>
        <v>0.045</v>
      </c>
      <c r="E48" s="31" t="n">
        <f aca="false">IF($B48&lt;=A_Laufzeit,C48*D48,0)</f>
        <v>3112.3348125268</v>
      </c>
      <c r="F48" s="31" t="n">
        <f aca="false">IF($B48&lt;=A_Laufzeit,G48-E48,0)</f>
        <v>2887.6651874732</v>
      </c>
      <c r="G48" s="31" t="n">
        <f aca="false">IF($B48&lt;=A_Laufzeit,IF($B48&lt;=A_KfW_tf,E48,$C$21),0)</f>
        <v>6000</v>
      </c>
      <c r="H48" s="31" t="n">
        <f aca="false">MAX(0,C48-F48)</f>
        <v>66275.3306464556</v>
      </c>
      <c r="I48" s="31" t="n">
        <f aca="false">IF($B48&lt;=A_Laufzeit,C48*MAX(0,$C$16-D48),0)</f>
        <v>0</v>
      </c>
    </row>
    <row r="49" customFormat="false" ht="15" hidden="false" customHeight="false" outlineLevel="0" collapsed="false">
      <c r="B49" s="36" t="n">
        <v>23</v>
      </c>
      <c r="C49" s="31" t="n">
        <f aca="false">H48</f>
        <v>66275.3306464556</v>
      </c>
      <c r="D49" s="34" t="n">
        <f aca="false">IF($B49&lt;=A_Zinsbindung,$C$10,A_Zins_Anschluss)</f>
        <v>0.045</v>
      </c>
      <c r="E49" s="31" t="n">
        <f aca="false">IF($B49&lt;=A_Laufzeit,C49*D49,0)</f>
        <v>2982.3898790905</v>
      </c>
      <c r="F49" s="31" t="n">
        <f aca="false">IF($B49&lt;=A_Laufzeit,G49-E49,0)</f>
        <v>3017.6101209095</v>
      </c>
      <c r="G49" s="31" t="n">
        <f aca="false">IF($B49&lt;=A_Laufzeit,IF($B49&lt;=A_KfW_tf,E49,$C$21),0)</f>
        <v>6000</v>
      </c>
      <c r="H49" s="31" t="n">
        <f aca="false">MAX(0,C49-F49)</f>
        <v>63257.7205255461</v>
      </c>
      <c r="I49" s="31" t="n">
        <f aca="false">IF($B49&lt;=A_Laufzeit,C49*MAX(0,$C$16-D49),0)</f>
        <v>0</v>
      </c>
    </row>
    <row r="50" customFormat="false" ht="15" hidden="false" customHeight="false" outlineLevel="0" collapsed="false">
      <c r="B50" s="36" t="n">
        <v>24</v>
      </c>
      <c r="C50" s="31" t="n">
        <f aca="false">H49</f>
        <v>63257.7205255461</v>
      </c>
      <c r="D50" s="34" t="n">
        <f aca="false">IF($B50&lt;=A_Zinsbindung,$C$10,A_Zins_Anschluss)</f>
        <v>0.045</v>
      </c>
      <c r="E50" s="31" t="n">
        <f aca="false">IF($B50&lt;=A_Laufzeit,C50*D50,0)</f>
        <v>2846.59742364957</v>
      </c>
      <c r="F50" s="31" t="n">
        <f aca="false">IF($B50&lt;=A_Laufzeit,G50-E50,0)</f>
        <v>3153.40257635043</v>
      </c>
      <c r="G50" s="31" t="n">
        <f aca="false">IF($B50&lt;=A_Laufzeit,IF($B50&lt;=A_KfW_tf,E50,$C$21),0)</f>
        <v>6000</v>
      </c>
      <c r="H50" s="31" t="n">
        <f aca="false">MAX(0,C50-F50)</f>
        <v>60104.3179491957</v>
      </c>
      <c r="I50" s="31" t="n">
        <f aca="false">IF($B50&lt;=A_Laufzeit,C50*MAX(0,$C$16-D50),0)</f>
        <v>0</v>
      </c>
    </row>
    <row r="51" customFormat="false" ht="15" hidden="false" customHeight="false" outlineLevel="0" collapsed="false">
      <c r="B51" s="36" t="n">
        <v>25</v>
      </c>
      <c r="C51" s="31" t="n">
        <f aca="false">H50</f>
        <v>60104.3179491957</v>
      </c>
      <c r="D51" s="34" t="n">
        <f aca="false">IF($B51&lt;=A_Zinsbindung,$C$10,A_Zins_Anschluss)</f>
        <v>0.045</v>
      </c>
      <c r="E51" s="31" t="n">
        <f aca="false">IF($B51&lt;=A_Laufzeit,C51*D51,0)</f>
        <v>2704.69430771381</v>
      </c>
      <c r="F51" s="31" t="n">
        <f aca="false">IF($B51&lt;=A_Laufzeit,G51-E51,0)</f>
        <v>3295.3056922862</v>
      </c>
      <c r="G51" s="31" t="n">
        <f aca="false">IF($B51&lt;=A_Laufzeit,IF($B51&lt;=A_KfW_tf,E51,$C$21),0)</f>
        <v>6000</v>
      </c>
      <c r="H51" s="31" t="n">
        <f aca="false">MAX(0,C51-F51)</f>
        <v>56809.0122569095</v>
      </c>
      <c r="I51" s="31" t="n">
        <f aca="false">IF($B51&lt;=A_Laufzeit,C51*MAX(0,$C$16-D51),0)</f>
        <v>0</v>
      </c>
    </row>
    <row r="52" customFormat="false" ht="15" hidden="false" customHeight="false" outlineLevel="0" collapsed="false">
      <c r="B52" s="36" t="n">
        <v>26</v>
      </c>
      <c r="C52" s="31" t="n">
        <f aca="false">H51</f>
        <v>56809.0122569095</v>
      </c>
      <c r="D52" s="34" t="n">
        <f aca="false">IF($B52&lt;=A_Zinsbindung,$C$10,A_Zins_Anschluss)</f>
        <v>0.045</v>
      </c>
      <c r="E52" s="31" t="n">
        <f aca="false">IF($B52&lt;=A_Laufzeit,C52*D52,0)</f>
        <v>2556.40555156093</v>
      </c>
      <c r="F52" s="31" t="n">
        <f aca="false">IF($B52&lt;=A_Laufzeit,G52-E52,0)</f>
        <v>3443.59444843907</v>
      </c>
      <c r="G52" s="31" t="n">
        <f aca="false">IF($B52&lt;=A_Laufzeit,IF($B52&lt;=A_KfW_tf,E52,$C$21),0)</f>
        <v>6000</v>
      </c>
      <c r="H52" s="31" t="n">
        <f aca="false">MAX(0,C52-F52)</f>
        <v>53365.4178084704</v>
      </c>
      <c r="I52" s="31" t="n">
        <f aca="false">IF($B52&lt;=A_Laufzeit,C52*MAX(0,$C$16-D52),0)</f>
        <v>0</v>
      </c>
    </row>
    <row r="53" customFormat="false" ht="15" hidden="false" customHeight="false" outlineLevel="0" collapsed="false">
      <c r="B53" s="36" t="n">
        <v>27</v>
      </c>
      <c r="C53" s="31" t="n">
        <f aca="false">H52</f>
        <v>53365.4178084704</v>
      </c>
      <c r="D53" s="34" t="n">
        <f aca="false">IF($B53&lt;=A_Zinsbindung,$C$10,A_Zins_Anschluss)</f>
        <v>0.045</v>
      </c>
      <c r="E53" s="31" t="n">
        <f aca="false">IF($B53&lt;=A_Laufzeit,C53*D53,0)</f>
        <v>2401.44380138117</v>
      </c>
      <c r="F53" s="31" t="n">
        <f aca="false">IF($B53&lt;=A_Laufzeit,G53-E53,0)</f>
        <v>3598.55619861883</v>
      </c>
      <c r="G53" s="31" t="n">
        <f aca="false">IF($B53&lt;=A_Laufzeit,IF($B53&lt;=A_KfW_tf,E53,$C$21),0)</f>
        <v>6000</v>
      </c>
      <c r="H53" s="31" t="n">
        <f aca="false">MAX(0,C53-F53)</f>
        <v>49766.8616098516</v>
      </c>
      <c r="I53" s="31" t="n">
        <f aca="false">IF($B53&lt;=A_Laufzeit,C53*MAX(0,$C$16-D53),0)</f>
        <v>0</v>
      </c>
    </row>
    <row r="54" customFormat="false" ht="15" hidden="false" customHeight="false" outlineLevel="0" collapsed="false">
      <c r="B54" s="36" t="n">
        <v>28</v>
      </c>
      <c r="C54" s="31" t="n">
        <f aca="false">H53</f>
        <v>49766.8616098516</v>
      </c>
      <c r="D54" s="34" t="n">
        <f aca="false">IF($B54&lt;=A_Zinsbindung,$C$10,A_Zins_Anschluss)</f>
        <v>0.045</v>
      </c>
      <c r="E54" s="31" t="n">
        <f aca="false">IF($B54&lt;=A_Laufzeit,C54*D54,0)</f>
        <v>2239.50877244332</v>
      </c>
      <c r="F54" s="31" t="n">
        <f aca="false">IF($B54&lt;=A_Laufzeit,G54-E54,0)</f>
        <v>3760.49122755668</v>
      </c>
      <c r="G54" s="31" t="n">
        <f aca="false">IF($B54&lt;=A_Laufzeit,IF($B54&lt;=A_KfW_tf,E54,$C$21),0)</f>
        <v>6000</v>
      </c>
      <c r="H54" s="31" t="n">
        <f aca="false">MAX(0,C54-F54)</f>
        <v>46006.3703822949</v>
      </c>
      <c r="I54" s="31" t="n">
        <f aca="false">IF($B54&lt;=A_Laufzeit,C54*MAX(0,$C$16-D54),0)</f>
        <v>0</v>
      </c>
    </row>
    <row r="55" customFormat="false" ht="15" hidden="false" customHeight="false" outlineLevel="0" collapsed="false">
      <c r="B55" s="36" t="n">
        <v>29</v>
      </c>
      <c r="C55" s="31" t="n">
        <f aca="false">H54</f>
        <v>46006.3703822949</v>
      </c>
      <c r="D55" s="34" t="n">
        <f aca="false">IF($B55&lt;=A_Zinsbindung,$C$10,A_Zins_Anschluss)</f>
        <v>0.045</v>
      </c>
      <c r="E55" s="31" t="n">
        <f aca="false">IF($B55&lt;=A_Laufzeit,C55*D55,0)</f>
        <v>2070.28666720327</v>
      </c>
      <c r="F55" s="31" t="n">
        <f aca="false">IF($B55&lt;=A_Laufzeit,G55-E55,0)</f>
        <v>3929.71333279673</v>
      </c>
      <c r="G55" s="31" t="n">
        <f aca="false">IF($B55&lt;=A_Laufzeit,IF($B55&lt;=A_KfW_tf,E55,$C$21),0)</f>
        <v>6000</v>
      </c>
      <c r="H55" s="31" t="n">
        <f aca="false">MAX(0,C55-F55)</f>
        <v>42076.6570494982</v>
      </c>
      <c r="I55" s="31" t="n">
        <f aca="false">IF($B55&lt;=A_Laufzeit,C55*MAX(0,$C$16-D55),0)</f>
        <v>0</v>
      </c>
    </row>
    <row r="56" customFormat="false" ht="15" hidden="false" customHeight="false" outlineLevel="0" collapsed="false">
      <c r="B56" s="36" t="n">
        <v>30</v>
      </c>
      <c r="C56" s="31" t="n">
        <f aca="false">H55</f>
        <v>42076.6570494982</v>
      </c>
      <c r="D56" s="34" t="n">
        <f aca="false">IF($B56&lt;=A_Zinsbindung,$C$10,A_Zins_Anschluss)</f>
        <v>0.045</v>
      </c>
      <c r="E56" s="31" t="n">
        <f aca="false">IF($B56&lt;=A_Laufzeit,C56*D56,0)</f>
        <v>1893.44956722742</v>
      </c>
      <c r="F56" s="31" t="n">
        <f aca="false">IF($B56&lt;=A_Laufzeit,G56-E56,0)</f>
        <v>4106.55043277258</v>
      </c>
      <c r="G56" s="31" t="n">
        <f aca="false">IF($B56&lt;=A_Laufzeit,IF($B56&lt;=A_KfW_tf,E56,$C$21),0)</f>
        <v>6000</v>
      </c>
      <c r="H56" s="31" t="n">
        <f aca="false">MAX(0,C56-F56)</f>
        <v>37970.1066167256</v>
      </c>
      <c r="I56" s="31" t="n">
        <f aca="false">IF($B56&lt;=A_Laufzeit,C56*MAX(0,$C$16-D56),0)</f>
        <v>0</v>
      </c>
    </row>
    <row r="57" customFormat="false" ht="15" hidden="false" customHeight="false" outlineLevel="0" collapsed="false">
      <c r="B57" s="36" t="n">
        <v>31</v>
      </c>
      <c r="C57" s="31" t="n">
        <f aca="false">H56</f>
        <v>37970.1066167256</v>
      </c>
      <c r="D57" s="34" t="n">
        <f aca="false">IF($B57&lt;=A_Zinsbindung,$C$10,A_Zins_Anschluss)</f>
        <v>0.045</v>
      </c>
      <c r="E57" s="31" t="n">
        <f aca="false">IF($B57&lt;=A_Laufzeit,C57*D57,0)</f>
        <v>0</v>
      </c>
      <c r="F57" s="31" t="n">
        <f aca="false">IF($B57&lt;=A_Laufzeit,G57-E57,0)</f>
        <v>0</v>
      </c>
      <c r="G57" s="31" t="n">
        <f aca="false">IF($B57&lt;=A_Laufzeit,IF($B57&lt;=A_KfW_tf,E57,$C$21),0)</f>
        <v>0</v>
      </c>
      <c r="H57" s="31" t="n">
        <f aca="false">MAX(0,C57-F57)</f>
        <v>37970.1066167256</v>
      </c>
      <c r="I57" s="31" t="n">
        <f aca="false">IF($B57&lt;=A_Laufzeit,C57*MAX(0,$C$16-D57),0)</f>
        <v>0</v>
      </c>
    </row>
    <row r="58" customFormat="false" ht="15" hidden="false" customHeight="false" outlineLevel="0" collapsed="false">
      <c r="B58" s="36" t="n">
        <v>32</v>
      </c>
      <c r="C58" s="31" t="n">
        <f aca="false">H57</f>
        <v>37970.1066167256</v>
      </c>
      <c r="D58" s="34" t="n">
        <f aca="false">IF($B58&lt;=A_Zinsbindung,$C$10,A_Zins_Anschluss)</f>
        <v>0.045</v>
      </c>
      <c r="E58" s="31" t="n">
        <f aca="false">IF($B58&lt;=A_Laufzeit,C58*D58,0)</f>
        <v>0</v>
      </c>
      <c r="F58" s="31" t="n">
        <f aca="false">IF($B58&lt;=A_Laufzeit,G58-E58,0)</f>
        <v>0</v>
      </c>
      <c r="G58" s="31" t="n">
        <f aca="false">IF($B58&lt;=A_Laufzeit,IF($B58&lt;=A_KfW_tf,E58,$C$21),0)</f>
        <v>0</v>
      </c>
      <c r="H58" s="31" t="n">
        <f aca="false">MAX(0,C58-F58)</f>
        <v>37970.1066167256</v>
      </c>
      <c r="I58" s="31" t="n">
        <f aca="false">IF($B58&lt;=A_Laufzeit,C58*MAX(0,$C$16-D58),0)</f>
        <v>0</v>
      </c>
    </row>
    <row r="59" customFormat="false" ht="15" hidden="false" customHeight="false" outlineLevel="0" collapsed="false">
      <c r="B59" s="36" t="n">
        <v>33</v>
      </c>
      <c r="C59" s="31" t="n">
        <f aca="false">H58</f>
        <v>37970.1066167256</v>
      </c>
      <c r="D59" s="34" t="n">
        <f aca="false">IF($B59&lt;=A_Zinsbindung,$C$10,A_Zins_Anschluss)</f>
        <v>0.045</v>
      </c>
      <c r="E59" s="31" t="n">
        <f aca="false">IF($B59&lt;=A_Laufzeit,C59*D59,0)</f>
        <v>0</v>
      </c>
      <c r="F59" s="31" t="n">
        <f aca="false">IF($B59&lt;=A_Laufzeit,G59-E59,0)</f>
        <v>0</v>
      </c>
      <c r="G59" s="31" t="n">
        <f aca="false">IF($B59&lt;=A_Laufzeit,IF($B59&lt;=A_KfW_tf,E59,$C$21),0)</f>
        <v>0</v>
      </c>
      <c r="H59" s="31" t="n">
        <f aca="false">MAX(0,C59-F59)</f>
        <v>37970.1066167256</v>
      </c>
      <c r="I59" s="31" t="n">
        <f aca="false">IF($B59&lt;=A_Laufzeit,C59*MAX(0,$C$16-D59),0)</f>
        <v>0</v>
      </c>
    </row>
    <row r="60" customFormat="false" ht="15" hidden="false" customHeight="false" outlineLevel="0" collapsed="false">
      <c r="B60" s="36" t="n">
        <v>34</v>
      </c>
      <c r="C60" s="31" t="n">
        <f aca="false">H59</f>
        <v>37970.1066167256</v>
      </c>
      <c r="D60" s="34" t="n">
        <f aca="false">IF($B60&lt;=A_Zinsbindung,$C$10,A_Zins_Anschluss)</f>
        <v>0.045</v>
      </c>
      <c r="E60" s="31" t="n">
        <f aca="false">IF($B60&lt;=A_Laufzeit,C60*D60,0)</f>
        <v>0</v>
      </c>
      <c r="F60" s="31" t="n">
        <f aca="false">IF($B60&lt;=A_Laufzeit,G60-E60,0)</f>
        <v>0</v>
      </c>
      <c r="G60" s="31" t="n">
        <f aca="false">IF($B60&lt;=A_Laufzeit,IF($B60&lt;=A_KfW_tf,E60,$C$21),0)</f>
        <v>0</v>
      </c>
      <c r="H60" s="31" t="n">
        <f aca="false">MAX(0,C60-F60)</f>
        <v>37970.1066167256</v>
      </c>
      <c r="I60" s="31" t="n">
        <f aca="false">IF($B60&lt;=A_Laufzeit,C60*MAX(0,$C$16-D60),0)</f>
        <v>0</v>
      </c>
    </row>
    <row r="61" customFormat="false" ht="15" hidden="false" customHeight="false" outlineLevel="0" collapsed="false">
      <c r="B61" s="36" t="n">
        <v>35</v>
      </c>
      <c r="C61" s="31" t="n">
        <f aca="false">H60</f>
        <v>37970.1066167256</v>
      </c>
      <c r="D61" s="34" t="n">
        <f aca="false">IF($B61&lt;=A_Zinsbindung,$C$10,A_Zins_Anschluss)</f>
        <v>0.045</v>
      </c>
      <c r="E61" s="31" t="n">
        <f aca="false">IF($B61&lt;=A_Laufzeit,C61*D61,0)</f>
        <v>0</v>
      </c>
      <c r="F61" s="31" t="n">
        <f aca="false">IF($B61&lt;=A_Laufzeit,G61-E61,0)</f>
        <v>0</v>
      </c>
      <c r="G61" s="31" t="n">
        <f aca="false">IF($B61&lt;=A_Laufzeit,IF($B61&lt;=A_KfW_tf,E61,$C$21),0)</f>
        <v>0</v>
      </c>
      <c r="H61" s="31" t="n">
        <f aca="false">MAX(0,C61-F61)</f>
        <v>37970.1066167256</v>
      </c>
      <c r="I61" s="31" t="n">
        <f aca="false">IF($B61&lt;=A_Laufzeit,C61*MAX(0,$C$16-D61),0)</f>
        <v>0</v>
      </c>
    </row>
    <row r="63" customFormat="false" ht="15" hidden="false" customHeight="false" outlineLevel="0" collapsed="false">
      <c r="B63" s="14" t="s">
        <v>683</v>
      </c>
      <c r="C63" s="14"/>
      <c r="D63" s="14"/>
      <c r="E63" s="14"/>
      <c r="F63" s="14"/>
      <c r="G63" s="14"/>
      <c r="H63" s="14"/>
      <c r="I63" s="14"/>
    </row>
    <row r="64" customFormat="false" ht="23.85" hidden="false" customHeight="false" outlineLevel="0" collapsed="false">
      <c r="B64" s="11" t="s">
        <v>51</v>
      </c>
      <c r="C64" s="11" t="s">
        <v>676</v>
      </c>
      <c r="D64" s="11" t="s">
        <v>677</v>
      </c>
      <c r="E64" s="11" t="s">
        <v>678</v>
      </c>
      <c r="F64" s="11" t="s">
        <v>679</v>
      </c>
      <c r="G64" s="11" t="s">
        <v>680</v>
      </c>
      <c r="H64" s="11" t="s">
        <v>681</v>
      </c>
      <c r="I64" s="11" t="s">
        <v>682</v>
      </c>
    </row>
    <row r="65" customFormat="false" ht="15" hidden="false" customHeight="false" outlineLevel="0" collapsed="false">
      <c r="B65" s="36" t="n">
        <v>1</v>
      </c>
      <c r="C65" s="31" t="n">
        <f aca="false">C14</f>
        <v>415179.030452508</v>
      </c>
      <c r="D65" s="34" t="n">
        <f aca="false">IF($B65&lt;=A_Zinsbindung,$C$17,A_Zins_Anschluss)</f>
        <v>0.0375</v>
      </c>
      <c r="E65" s="31" t="n">
        <f aca="false">IF($B65&lt;=A_Laufzeit,C65*D65,0)</f>
        <v>15569.213641969</v>
      </c>
      <c r="F65" s="31" t="n">
        <f aca="false">IF($B65&lt;=A_Laufzeit,G65-E65,0)</f>
        <v>10379.4757613127</v>
      </c>
      <c r="G65" s="31" t="n">
        <f aca="false">IF($B65&lt;=A_Laufzeit,IF($B65&lt;=0,E65,$C$22),0)</f>
        <v>25948.6894032817</v>
      </c>
      <c r="H65" s="31" t="n">
        <f aca="false">MAX(0,C65-F65)</f>
        <v>404799.554691195</v>
      </c>
      <c r="I65" s="31" t="n">
        <f aca="false">IF($B65&lt;=A_Laufzeit,C65*MAX(0,$C$17-D65),0)</f>
        <v>0</v>
      </c>
    </row>
    <row r="66" customFormat="false" ht="15" hidden="false" customHeight="false" outlineLevel="0" collapsed="false">
      <c r="B66" s="36" t="n">
        <v>2</v>
      </c>
      <c r="C66" s="31" t="n">
        <f aca="false">H65</f>
        <v>404799.554691195</v>
      </c>
      <c r="D66" s="34" t="n">
        <f aca="false">IF($B66&lt;=A_Zinsbindung,$C$17,A_Zins_Anschluss)</f>
        <v>0.0375</v>
      </c>
      <c r="E66" s="31" t="n">
        <f aca="false">IF($B66&lt;=A_Laufzeit,C66*D66,0)</f>
        <v>15179.9833009198</v>
      </c>
      <c r="F66" s="31" t="n">
        <f aca="false">IF($B66&lt;=A_Laufzeit,G66-E66,0)</f>
        <v>10768.7061023619</v>
      </c>
      <c r="G66" s="31" t="n">
        <f aca="false">IF($B66&lt;=A_Laufzeit,IF($B66&lt;=0,E66,$C$22),0)</f>
        <v>25948.6894032817</v>
      </c>
      <c r="H66" s="31" t="n">
        <f aca="false">MAX(0,C66-F66)</f>
        <v>394030.848588833</v>
      </c>
      <c r="I66" s="31" t="n">
        <f aca="false">IF($B66&lt;=A_Laufzeit,C66*MAX(0,$C$17-D66),0)</f>
        <v>0</v>
      </c>
    </row>
    <row r="67" customFormat="false" ht="15" hidden="false" customHeight="false" outlineLevel="0" collapsed="false">
      <c r="B67" s="36" t="n">
        <v>3</v>
      </c>
      <c r="C67" s="31" t="n">
        <f aca="false">H66</f>
        <v>394030.848588833</v>
      </c>
      <c r="D67" s="34" t="n">
        <f aca="false">IF($B67&lt;=A_Zinsbindung,$C$17,A_Zins_Anschluss)</f>
        <v>0.0375</v>
      </c>
      <c r="E67" s="31" t="n">
        <f aca="false">IF($B67&lt;=A_Laufzeit,C67*D67,0)</f>
        <v>14776.1568220812</v>
      </c>
      <c r="F67" s="31" t="n">
        <f aca="false">IF($B67&lt;=A_Laufzeit,G67-E67,0)</f>
        <v>11172.5325812005</v>
      </c>
      <c r="G67" s="31" t="n">
        <f aca="false">IF($B67&lt;=A_Laufzeit,IF($B67&lt;=0,E67,$C$22),0)</f>
        <v>25948.6894032817</v>
      </c>
      <c r="H67" s="31" t="n">
        <f aca="false">MAX(0,C67-F67)</f>
        <v>382858.316007633</v>
      </c>
      <c r="I67" s="31" t="n">
        <f aca="false">IF($B67&lt;=A_Laufzeit,C67*MAX(0,$C$17-D67),0)</f>
        <v>0</v>
      </c>
    </row>
    <row r="68" customFormat="false" ht="15" hidden="false" customHeight="false" outlineLevel="0" collapsed="false">
      <c r="B68" s="36" t="n">
        <v>4</v>
      </c>
      <c r="C68" s="31" t="n">
        <f aca="false">H67</f>
        <v>382858.316007633</v>
      </c>
      <c r="D68" s="34" t="n">
        <f aca="false">IF($B68&lt;=A_Zinsbindung,$C$17,A_Zins_Anschluss)</f>
        <v>0.0375</v>
      </c>
      <c r="E68" s="31" t="n">
        <f aca="false">IF($B68&lt;=A_Laufzeit,C68*D68,0)</f>
        <v>14357.1868502862</v>
      </c>
      <c r="F68" s="31" t="n">
        <f aca="false">IF($B68&lt;=A_Laufzeit,G68-E68,0)</f>
        <v>11591.5025529955</v>
      </c>
      <c r="G68" s="31" t="n">
        <f aca="false">IF($B68&lt;=A_Laufzeit,IF($B68&lt;=0,E68,$C$22),0)</f>
        <v>25948.6894032817</v>
      </c>
      <c r="H68" s="31" t="n">
        <f aca="false">MAX(0,C68-F68)</f>
        <v>371266.813454637</v>
      </c>
      <c r="I68" s="31" t="n">
        <f aca="false">IF($B68&lt;=A_Laufzeit,C68*MAX(0,$C$17-D68),0)</f>
        <v>0</v>
      </c>
    </row>
    <row r="69" customFormat="false" ht="15" hidden="false" customHeight="false" outlineLevel="0" collapsed="false">
      <c r="B69" s="36" t="n">
        <v>5</v>
      </c>
      <c r="C69" s="31" t="n">
        <f aca="false">H68</f>
        <v>371266.813454637</v>
      </c>
      <c r="D69" s="34" t="n">
        <f aca="false">IF($B69&lt;=A_Zinsbindung,$C$17,A_Zins_Anschluss)</f>
        <v>0.0375</v>
      </c>
      <c r="E69" s="31" t="n">
        <f aca="false">IF($B69&lt;=A_Laufzeit,C69*D69,0)</f>
        <v>13922.5055045489</v>
      </c>
      <c r="F69" s="31" t="n">
        <f aca="false">IF($B69&lt;=A_Laufzeit,G69-E69,0)</f>
        <v>12026.1838987328</v>
      </c>
      <c r="G69" s="31" t="n">
        <f aca="false">IF($B69&lt;=A_Laufzeit,IF($B69&lt;=0,E69,$C$22),0)</f>
        <v>25948.6894032817</v>
      </c>
      <c r="H69" s="31" t="n">
        <f aca="false">MAX(0,C69-F69)</f>
        <v>359240.629555905</v>
      </c>
      <c r="I69" s="31" t="n">
        <f aca="false">IF($B69&lt;=A_Laufzeit,C69*MAX(0,$C$17-D69),0)</f>
        <v>0</v>
      </c>
    </row>
    <row r="70" customFormat="false" ht="15" hidden="false" customHeight="false" outlineLevel="0" collapsed="false">
      <c r="B70" s="36" t="n">
        <v>6</v>
      </c>
      <c r="C70" s="31" t="n">
        <f aca="false">H69</f>
        <v>359240.629555905</v>
      </c>
      <c r="D70" s="34" t="n">
        <f aca="false">IF($B70&lt;=A_Zinsbindung,$C$17,A_Zins_Anschluss)</f>
        <v>0.0375</v>
      </c>
      <c r="E70" s="31" t="n">
        <f aca="false">IF($B70&lt;=A_Laufzeit,C70*D70,0)</f>
        <v>13471.5236083464</v>
      </c>
      <c r="F70" s="31" t="n">
        <f aca="false">IF($B70&lt;=A_Laufzeit,G70-E70,0)</f>
        <v>12477.1657949353</v>
      </c>
      <c r="G70" s="31" t="n">
        <f aca="false">IF($B70&lt;=A_Laufzeit,IF($B70&lt;=0,E70,$C$22),0)</f>
        <v>25948.6894032817</v>
      </c>
      <c r="H70" s="31" t="n">
        <f aca="false">MAX(0,C70-F70)</f>
        <v>346763.463760969</v>
      </c>
      <c r="I70" s="31" t="n">
        <f aca="false">IF($B70&lt;=A_Laufzeit,C70*MAX(0,$C$17-D70),0)</f>
        <v>0</v>
      </c>
    </row>
    <row r="71" customFormat="false" ht="15" hidden="false" customHeight="false" outlineLevel="0" collapsed="false">
      <c r="B71" s="36" t="n">
        <v>7</v>
      </c>
      <c r="C71" s="31" t="n">
        <f aca="false">H70</f>
        <v>346763.463760969</v>
      </c>
      <c r="D71" s="34" t="n">
        <f aca="false">IF($B71&lt;=A_Zinsbindung,$C$17,A_Zins_Anschluss)</f>
        <v>0.0375</v>
      </c>
      <c r="E71" s="31" t="n">
        <f aca="false">IF($B71&lt;=A_Laufzeit,C71*D71,0)</f>
        <v>13003.6298910363</v>
      </c>
      <c r="F71" s="31" t="n">
        <f aca="false">IF($B71&lt;=A_Laufzeit,G71-E71,0)</f>
        <v>12945.0595122454</v>
      </c>
      <c r="G71" s="31" t="n">
        <f aca="false">IF($B71&lt;=A_Laufzeit,IF($B71&lt;=0,E71,$C$22),0)</f>
        <v>25948.6894032817</v>
      </c>
      <c r="H71" s="31" t="n">
        <f aca="false">MAX(0,C71-F71)</f>
        <v>333818.404248724</v>
      </c>
      <c r="I71" s="31" t="n">
        <f aca="false">IF($B71&lt;=A_Laufzeit,C71*MAX(0,$C$17-D71),0)</f>
        <v>0</v>
      </c>
    </row>
    <row r="72" customFormat="false" ht="15" hidden="false" customHeight="false" outlineLevel="0" collapsed="false">
      <c r="B72" s="36" t="n">
        <v>8</v>
      </c>
      <c r="C72" s="31" t="n">
        <f aca="false">H71</f>
        <v>333818.404248724</v>
      </c>
      <c r="D72" s="34" t="n">
        <f aca="false">IF($B72&lt;=A_Zinsbindung,$C$17,A_Zins_Anschluss)</f>
        <v>0.0375</v>
      </c>
      <c r="E72" s="31" t="n">
        <f aca="false">IF($B72&lt;=A_Laufzeit,C72*D72,0)</f>
        <v>12518.1901593271</v>
      </c>
      <c r="F72" s="31" t="n">
        <f aca="false">IF($B72&lt;=A_Laufzeit,G72-E72,0)</f>
        <v>13430.4992439546</v>
      </c>
      <c r="G72" s="31" t="n">
        <f aca="false">IF($B72&lt;=A_Laufzeit,IF($B72&lt;=0,E72,$C$22),0)</f>
        <v>25948.6894032817</v>
      </c>
      <c r="H72" s="31" t="n">
        <f aca="false">MAX(0,C72-F72)</f>
        <v>320387.905004769</v>
      </c>
      <c r="I72" s="31" t="n">
        <f aca="false">IF($B72&lt;=A_Laufzeit,C72*MAX(0,$C$17-D72),0)</f>
        <v>0</v>
      </c>
    </row>
    <row r="73" customFormat="false" ht="15" hidden="false" customHeight="false" outlineLevel="0" collapsed="false">
      <c r="B73" s="36" t="n">
        <v>9</v>
      </c>
      <c r="C73" s="31" t="n">
        <f aca="false">H72</f>
        <v>320387.905004769</v>
      </c>
      <c r="D73" s="34" t="n">
        <f aca="false">IF($B73&lt;=A_Zinsbindung,$C$17,A_Zins_Anschluss)</f>
        <v>0.0375</v>
      </c>
      <c r="E73" s="31" t="n">
        <f aca="false">IF($B73&lt;=A_Laufzeit,C73*D73,0)</f>
        <v>12014.5464376788</v>
      </c>
      <c r="F73" s="31" t="n">
        <f aca="false">IF($B73&lt;=A_Laufzeit,G73-E73,0)</f>
        <v>13934.1429656029</v>
      </c>
      <c r="G73" s="31" t="n">
        <f aca="false">IF($B73&lt;=A_Laufzeit,IF($B73&lt;=0,E73,$C$22),0)</f>
        <v>25948.6894032817</v>
      </c>
      <c r="H73" s="31" t="n">
        <f aca="false">MAX(0,C73-F73)</f>
        <v>306453.762039166</v>
      </c>
      <c r="I73" s="31" t="n">
        <f aca="false">IF($B73&lt;=A_Laufzeit,C73*MAX(0,$C$17-D73),0)</f>
        <v>0</v>
      </c>
    </row>
    <row r="74" customFormat="false" ht="15" hidden="false" customHeight="false" outlineLevel="0" collapsed="false">
      <c r="B74" s="36" t="n">
        <v>10</v>
      </c>
      <c r="C74" s="31" t="n">
        <f aca="false">H73</f>
        <v>306453.762039166</v>
      </c>
      <c r="D74" s="34" t="n">
        <f aca="false">IF($B74&lt;=A_Zinsbindung,$C$17,A_Zins_Anschluss)</f>
        <v>0.0375</v>
      </c>
      <c r="E74" s="31" t="n">
        <f aca="false">IF($B74&lt;=A_Laufzeit,C74*D74,0)</f>
        <v>11492.0160764687</v>
      </c>
      <c r="F74" s="31" t="n">
        <f aca="false">IF($B74&lt;=A_Laufzeit,G74-E74,0)</f>
        <v>14456.673326813</v>
      </c>
      <c r="G74" s="31" t="n">
        <f aca="false">IF($B74&lt;=A_Laufzeit,IF($B74&lt;=0,E74,$C$22),0)</f>
        <v>25948.6894032817</v>
      </c>
      <c r="H74" s="31" t="n">
        <f aca="false">MAX(0,C74-F74)</f>
        <v>291997.088712353</v>
      </c>
      <c r="I74" s="31" t="n">
        <f aca="false">IF($B74&lt;=A_Laufzeit,C74*MAX(0,$C$17-D74),0)</f>
        <v>0</v>
      </c>
    </row>
    <row r="75" customFormat="false" ht="15" hidden="false" customHeight="false" outlineLevel="0" collapsed="false">
      <c r="B75" s="36" t="n">
        <v>11</v>
      </c>
      <c r="C75" s="31" t="n">
        <f aca="false">H74</f>
        <v>291997.088712353</v>
      </c>
      <c r="D75" s="34" t="n">
        <f aca="false">IF($B75&lt;=A_Zinsbindung,$C$17,A_Zins_Anschluss)</f>
        <v>0.045</v>
      </c>
      <c r="E75" s="31" t="n">
        <f aca="false">IF($B75&lt;=A_Laufzeit,C75*D75,0)</f>
        <v>13139.8689920559</v>
      </c>
      <c r="F75" s="31" t="n">
        <f aca="false">IF($B75&lt;=A_Laufzeit,G75-E75,0)</f>
        <v>12808.8204112259</v>
      </c>
      <c r="G75" s="31" t="n">
        <f aca="false">IF($B75&lt;=A_Laufzeit,IF($B75&lt;=0,E75,$C$22),0)</f>
        <v>25948.6894032817</v>
      </c>
      <c r="H75" s="31" t="n">
        <f aca="false">MAX(0,C75-F75)</f>
        <v>279188.268301127</v>
      </c>
      <c r="I75" s="31" t="n">
        <f aca="false">IF($B75&lt;=A_Laufzeit,C75*MAX(0,$C$17-D75),0)</f>
        <v>0</v>
      </c>
    </row>
    <row r="76" customFormat="false" ht="15" hidden="false" customHeight="false" outlineLevel="0" collapsed="false">
      <c r="B76" s="36" t="n">
        <v>12</v>
      </c>
      <c r="C76" s="31" t="n">
        <f aca="false">H75</f>
        <v>279188.268301127</v>
      </c>
      <c r="D76" s="34" t="n">
        <f aca="false">IF($B76&lt;=A_Zinsbindung,$C$17,A_Zins_Anschluss)</f>
        <v>0.045</v>
      </c>
      <c r="E76" s="31" t="n">
        <f aca="false">IF($B76&lt;=A_Laufzeit,C76*D76,0)</f>
        <v>12563.4720735507</v>
      </c>
      <c r="F76" s="31" t="n">
        <f aca="false">IF($B76&lt;=A_Laufzeit,G76-E76,0)</f>
        <v>13385.217329731</v>
      </c>
      <c r="G76" s="31" t="n">
        <f aca="false">IF($B76&lt;=A_Laufzeit,IF($B76&lt;=0,E76,$C$22),0)</f>
        <v>25948.6894032817</v>
      </c>
      <c r="H76" s="31" t="n">
        <f aca="false">MAX(0,C76-F76)</f>
        <v>265803.050971396</v>
      </c>
      <c r="I76" s="31" t="n">
        <f aca="false">IF($B76&lt;=A_Laufzeit,C76*MAX(0,$C$17-D76),0)</f>
        <v>0</v>
      </c>
    </row>
    <row r="77" customFormat="false" ht="15" hidden="false" customHeight="false" outlineLevel="0" collapsed="false">
      <c r="B77" s="36" t="n">
        <v>13</v>
      </c>
      <c r="C77" s="31" t="n">
        <f aca="false">H76</f>
        <v>265803.050971396</v>
      </c>
      <c r="D77" s="34" t="n">
        <f aca="false">IF($B77&lt;=A_Zinsbindung,$C$17,A_Zins_Anschluss)</f>
        <v>0.045</v>
      </c>
      <c r="E77" s="31" t="n">
        <f aca="false">IF($B77&lt;=A_Laufzeit,C77*D77,0)</f>
        <v>11961.1372937128</v>
      </c>
      <c r="F77" s="31" t="n">
        <f aca="false">IF($B77&lt;=A_Laufzeit,G77-E77,0)</f>
        <v>13987.5521095689</v>
      </c>
      <c r="G77" s="31" t="n">
        <f aca="false">IF($B77&lt;=A_Laufzeit,IF($B77&lt;=0,E77,$C$22),0)</f>
        <v>25948.6894032817</v>
      </c>
      <c r="H77" s="31" t="n">
        <f aca="false">MAX(0,C77-F77)</f>
        <v>251815.498861827</v>
      </c>
      <c r="I77" s="31" t="n">
        <f aca="false">IF($B77&lt;=A_Laufzeit,C77*MAX(0,$C$17-D77),0)</f>
        <v>0</v>
      </c>
    </row>
    <row r="78" customFormat="false" ht="15" hidden="false" customHeight="false" outlineLevel="0" collapsed="false">
      <c r="B78" s="36" t="n">
        <v>14</v>
      </c>
      <c r="C78" s="31" t="n">
        <f aca="false">H77</f>
        <v>251815.498861827</v>
      </c>
      <c r="D78" s="34" t="n">
        <f aca="false">IF($B78&lt;=A_Zinsbindung,$C$17,A_Zins_Anschluss)</f>
        <v>0.045</v>
      </c>
      <c r="E78" s="31" t="n">
        <f aca="false">IF($B78&lt;=A_Laufzeit,C78*D78,0)</f>
        <v>11331.6974487822</v>
      </c>
      <c r="F78" s="31" t="n">
        <f aca="false">IF($B78&lt;=A_Laufzeit,G78-E78,0)</f>
        <v>14616.9919544995</v>
      </c>
      <c r="G78" s="31" t="n">
        <f aca="false">IF($B78&lt;=A_Laufzeit,IF($B78&lt;=0,E78,$C$22),0)</f>
        <v>25948.6894032817</v>
      </c>
      <c r="H78" s="31" t="n">
        <f aca="false">MAX(0,C78-F78)</f>
        <v>237198.506907328</v>
      </c>
      <c r="I78" s="31" t="n">
        <f aca="false">IF($B78&lt;=A_Laufzeit,C78*MAX(0,$C$17-D78),0)</f>
        <v>0</v>
      </c>
    </row>
    <row r="79" customFormat="false" ht="15" hidden="false" customHeight="false" outlineLevel="0" collapsed="false">
      <c r="B79" s="36" t="n">
        <v>15</v>
      </c>
      <c r="C79" s="31" t="n">
        <f aca="false">H78</f>
        <v>237198.506907328</v>
      </c>
      <c r="D79" s="34" t="n">
        <f aca="false">IF($B79&lt;=A_Zinsbindung,$C$17,A_Zins_Anschluss)</f>
        <v>0.045</v>
      </c>
      <c r="E79" s="31" t="n">
        <f aca="false">IF($B79&lt;=A_Laufzeit,C79*D79,0)</f>
        <v>10673.9328108298</v>
      </c>
      <c r="F79" s="31" t="n">
        <f aca="false">IF($B79&lt;=A_Laufzeit,G79-E79,0)</f>
        <v>15274.756592452</v>
      </c>
      <c r="G79" s="31" t="n">
        <f aca="false">IF($B79&lt;=A_Laufzeit,IF($B79&lt;=0,E79,$C$22),0)</f>
        <v>25948.6894032817</v>
      </c>
      <c r="H79" s="31" t="n">
        <f aca="false">MAX(0,C79-F79)</f>
        <v>221923.750314876</v>
      </c>
      <c r="I79" s="31" t="n">
        <f aca="false">IF($B79&lt;=A_Laufzeit,C79*MAX(0,$C$17-D79),0)</f>
        <v>0</v>
      </c>
    </row>
    <row r="80" customFormat="false" ht="15" hidden="false" customHeight="false" outlineLevel="0" collapsed="false">
      <c r="B80" s="36" t="n">
        <v>16</v>
      </c>
      <c r="C80" s="31" t="n">
        <f aca="false">H79</f>
        <v>221923.750314876</v>
      </c>
      <c r="D80" s="34" t="n">
        <f aca="false">IF($B80&lt;=A_Zinsbindung,$C$17,A_Zins_Anschluss)</f>
        <v>0.045</v>
      </c>
      <c r="E80" s="31" t="n">
        <f aca="false">IF($B80&lt;=A_Laufzeit,C80*D80,0)</f>
        <v>9986.56876416942</v>
      </c>
      <c r="F80" s="31" t="n">
        <f aca="false">IF($B80&lt;=A_Laufzeit,G80-E80,0)</f>
        <v>15962.1206391123</v>
      </c>
      <c r="G80" s="31" t="n">
        <f aca="false">IF($B80&lt;=A_Laufzeit,IF($B80&lt;=0,E80,$C$22),0)</f>
        <v>25948.6894032817</v>
      </c>
      <c r="H80" s="31" t="n">
        <f aca="false">MAX(0,C80-F80)</f>
        <v>205961.629675764</v>
      </c>
      <c r="I80" s="31" t="n">
        <f aca="false">IF($B80&lt;=A_Laufzeit,C80*MAX(0,$C$17-D80),0)</f>
        <v>0</v>
      </c>
    </row>
    <row r="81" customFormat="false" ht="15" hidden="false" customHeight="false" outlineLevel="0" collapsed="false">
      <c r="B81" s="36" t="n">
        <v>17</v>
      </c>
      <c r="C81" s="31" t="n">
        <f aca="false">H80</f>
        <v>205961.629675764</v>
      </c>
      <c r="D81" s="34" t="n">
        <f aca="false">IF($B81&lt;=A_Zinsbindung,$C$17,A_Zins_Anschluss)</f>
        <v>0.045</v>
      </c>
      <c r="E81" s="31" t="n">
        <f aca="false">IF($B81&lt;=A_Laufzeit,C81*D81,0)</f>
        <v>9268.27333540936</v>
      </c>
      <c r="F81" s="31" t="n">
        <f aca="false">IF($B81&lt;=A_Laufzeit,G81-E81,0)</f>
        <v>16680.4160678724</v>
      </c>
      <c r="G81" s="31" t="n">
        <f aca="false">IF($B81&lt;=A_Laufzeit,IF($B81&lt;=0,E81,$C$22),0)</f>
        <v>25948.6894032817</v>
      </c>
      <c r="H81" s="31" t="n">
        <f aca="false">MAX(0,C81-F81)</f>
        <v>189281.213607891</v>
      </c>
      <c r="I81" s="31" t="n">
        <f aca="false">IF($B81&lt;=A_Laufzeit,C81*MAX(0,$C$17-D81),0)</f>
        <v>0</v>
      </c>
    </row>
    <row r="82" customFormat="false" ht="15" hidden="false" customHeight="false" outlineLevel="0" collapsed="false">
      <c r="B82" s="36" t="n">
        <v>18</v>
      </c>
      <c r="C82" s="31" t="n">
        <f aca="false">H81</f>
        <v>189281.213607891</v>
      </c>
      <c r="D82" s="34" t="n">
        <f aca="false">IF($B82&lt;=A_Zinsbindung,$C$17,A_Zins_Anschluss)</f>
        <v>0.045</v>
      </c>
      <c r="E82" s="31" t="n">
        <f aca="false">IF($B82&lt;=A_Laufzeit,C82*D82,0)</f>
        <v>8517.6546123551</v>
      </c>
      <c r="F82" s="31" t="n">
        <f aca="false">IF($B82&lt;=A_Laufzeit,G82-E82,0)</f>
        <v>17431.0347909266</v>
      </c>
      <c r="G82" s="31" t="n">
        <f aca="false">IF($B82&lt;=A_Laufzeit,IF($B82&lt;=0,E82,$C$22),0)</f>
        <v>25948.6894032817</v>
      </c>
      <c r="H82" s="31" t="n">
        <f aca="false">MAX(0,C82-F82)</f>
        <v>171850.178816965</v>
      </c>
      <c r="I82" s="31" t="n">
        <f aca="false">IF($B82&lt;=A_Laufzeit,C82*MAX(0,$C$17-D82),0)</f>
        <v>0</v>
      </c>
    </row>
    <row r="83" customFormat="false" ht="15" hidden="false" customHeight="false" outlineLevel="0" collapsed="false">
      <c r="B83" s="36" t="n">
        <v>19</v>
      </c>
      <c r="C83" s="31" t="n">
        <f aca="false">H82</f>
        <v>171850.178816965</v>
      </c>
      <c r="D83" s="34" t="n">
        <f aca="false">IF($B83&lt;=A_Zinsbindung,$C$17,A_Zins_Anschluss)</f>
        <v>0.045</v>
      </c>
      <c r="E83" s="31" t="n">
        <f aca="false">IF($B83&lt;=A_Laufzeit,C83*D83,0)</f>
        <v>7733.2580467634</v>
      </c>
      <c r="F83" s="31" t="n">
        <f aca="false">IF($B83&lt;=A_Laufzeit,G83-E83,0)</f>
        <v>18215.4313565183</v>
      </c>
      <c r="G83" s="31" t="n">
        <f aca="false">IF($B83&lt;=A_Laufzeit,IF($B83&lt;=0,E83,$C$22),0)</f>
        <v>25948.6894032817</v>
      </c>
      <c r="H83" s="31" t="n">
        <f aca="false">MAX(0,C83-F83)</f>
        <v>153634.747460446</v>
      </c>
      <c r="I83" s="31" t="n">
        <f aca="false">IF($B83&lt;=A_Laufzeit,C83*MAX(0,$C$17-D83),0)</f>
        <v>0</v>
      </c>
    </row>
    <row r="84" customFormat="false" ht="15" hidden="false" customHeight="false" outlineLevel="0" collapsed="false">
      <c r="B84" s="36" t="n">
        <v>20</v>
      </c>
      <c r="C84" s="31" t="n">
        <f aca="false">H83</f>
        <v>153634.747460446</v>
      </c>
      <c r="D84" s="34" t="n">
        <f aca="false">IF($B84&lt;=A_Zinsbindung,$C$17,A_Zins_Anschluss)</f>
        <v>0.045</v>
      </c>
      <c r="E84" s="31" t="n">
        <f aca="false">IF($B84&lt;=A_Laufzeit,C84*D84,0)</f>
        <v>6913.56363572008</v>
      </c>
      <c r="F84" s="31" t="n">
        <f aca="false">IF($B84&lt;=A_Laufzeit,G84-E84,0)</f>
        <v>19035.1257675617</v>
      </c>
      <c r="G84" s="31" t="n">
        <f aca="false">IF($B84&lt;=A_Laufzeit,IF($B84&lt;=0,E84,$C$22),0)</f>
        <v>25948.6894032817</v>
      </c>
      <c r="H84" s="31" t="n">
        <f aca="false">MAX(0,C84-F84)</f>
        <v>134599.621692885</v>
      </c>
      <c r="I84" s="31" t="n">
        <f aca="false">IF($B84&lt;=A_Laufzeit,C84*MAX(0,$C$17-D84),0)</f>
        <v>0</v>
      </c>
    </row>
    <row r="85" customFormat="false" ht="15" hidden="false" customHeight="false" outlineLevel="0" collapsed="false">
      <c r="B85" s="36" t="n">
        <v>21</v>
      </c>
      <c r="C85" s="31" t="n">
        <f aca="false">H84</f>
        <v>134599.621692885</v>
      </c>
      <c r="D85" s="34" t="n">
        <f aca="false">IF($B85&lt;=A_Zinsbindung,$C$17,A_Zins_Anschluss)</f>
        <v>0.045</v>
      </c>
      <c r="E85" s="31" t="n">
        <f aca="false">IF($B85&lt;=A_Laufzeit,C85*D85,0)</f>
        <v>6056.9829761798</v>
      </c>
      <c r="F85" s="31" t="n">
        <f aca="false">IF($B85&lt;=A_Laufzeit,G85-E85,0)</f>
        <v>19891.7064271019</v>
      </c>
      <c r="G85" s="31" t="n">
        <f aca="false">IF($B85&lt;=A_Laufzeit,IF($B85&lt;=0,E85,$C$22),0)</f>
        <v>25948.6894032817</v>
      </c>
      <c r="H85" s="31" t="n">
        <f aca="false">MAX(0,C85-F85)</f>
        <v>114707.915265783</v>
      </c>
      <c r="I85" s="31" t="n">
        <f aca="false">IF($B85&lt;=A_Laufzeit,C85*MAX(0,$C$17-D85),0)</f>
        <v>0</v>
      </c>
    </row>
    <row r="86" customFormat="false" ht="15" hidden="false" customHeight="false" outlineLevel="0" collapsed="false">
      <c r="B86" s="36" t="n">
        <v>22</v>
      </c>
      <c r="C86" s="31" t="n">
        <f aca="false">H85</f>
        <v>114707.915265783</v>
      </c>
      <c r="D86" s="34" t="n">
        <f aca="false">IF($B86&lt;=A_Zinsbindung,$C$17,A_Zins_Anschluss)</f>
        <v>0.045</v>
      </c>
      <c r="E86" s="31" t="n">
        <f aca="false">IF($B86&lt;=A_Laufzeit,C86*D86,0)</f>
        <v>5161.85618696022</v>
      </c>
      <c r="F86" s="31" t="n">
        <f aca="false">IF($B86&lt;=A_Laufzeit,G86-E86,0)</f>
        <v>20786.8332163215</v>
      </c>
      <c r="G86" s="31" t="n">
        <f aca="false">IF($B86&lt;=A_Laufzeit,IF($B86&lt;=0,E86,$C$22),0)</f>
        <v>25948.6894032817</v>
      </c>
      <c r="H86" s="31" t="n">
        <f aca="false">MAX(0,C86-F86)</f>
        <v>93921.0820494611</v>
      </c>
      <c r="I86" s="31" t="n">
        <f aca="false">IF($B86&lt;=A_Laufzeit,C86*MAX(0,$C$17-D86),0)</f>
        <v>0</v>
      </c>
    </row>
    <row r="87" customFormat="false" ht="15" hidden="false" customHeight="false" outlineLevel="0" collapsed="false">
      <c r="B87" s="36" t="n">
        <v>23</v>
      </c>
      <c r="C87" s="31" t="n">
        <f aca="false">H86</f>
        <v>93921.0820494611</v>
      </c>
      <c r="D87" s="34" t="n">
        <f aca="false">IF($B87&lt;=A_Zinsbindung,$C$17,A_Zins_Anschluss)</f>
        <v>0.045</v>
      </c>
      <c r="E87" s="31" t="n">
        <f aca="false">IF($B87&lt;=A_Laufzeit,C87*D87,0)</f>
        <v>4226.44869222575</v>
      </c>
      <c r="F87" s="31" t="n">
        <f aca="false">IF($B87&lt;=A_Laufzeit,G87-E87,0)</f>
        <v>21722.240711056</v>
      </c>
      <c r="G87" s="31" t="n">
        <f aca="false">IF($B87&lt;=A_Laufzeit,IF($B87&lt;=0,E87,$C$22),0)</f>
        <v>25948.6894032817</v>
      </c>
      <c r="H87" s="31" t="n">
        <f aca="false">MAX(0,C87-F87)</f>
        <v>72198.8413384051</v>
      </c>
      <c r="I87" s="31" t="n">
        <f aca="false">IF($B87&lt;=A_Laufzeit,C87*MAX(0,$C$17-D87),0)</f>
        <v>0</v>
      </c>
    </row>
    <row r="88" customFormat="false" ht="15" hidden="false" customHeight="false" outlineLevel="0" collapsed="false">
      <c r="B88" s="36" t="n">
        <v>24</v>
      </c>
      <c r="C88" s="31" t="n">
        <f aca="false">H87</f>
        <v>72198.8413384051</v>
      </c>
      <c r="D88" s="34" t="n">
        <f aca="false">IF($B88&lt;=A_Zinsbindung,$C$17,A_Zins_Anschluss)</f>
        <v>0.045</v>
      </c>
      <c r="E88" s="31" t="n">
        <f aca="false">IF($B88&lt;=A_Laufzeit,C88*D88,0)</f>
        <v>3248.94786022823</v>
      </c>
      <c r="F88" s="31" t="n">
        <f aca="false">IF($B88&lt;=A_Laufzeit,G88-E88,0)</f>
        <v>22699.7415430535</v>
      </c>
      <c r="G88" s="31" t="n">
        <f aca="false">IF($B88&lt;=A_Laufzeit,IF($B88&lt;=0,E88,$C$22),0)</f>
        <v>25948.6894032817</v>
      </c>
      <c r="H88" s="31" t="n">
        <f aca="false">MAX(0,C88-F88)</f>
        <v>49499.0997953516</v>
      </c>
      <c r="I88" s="31" t="n">
        <f aca="false">IF($B88&lt;=A_Laufzeit,C88*MAX(0,$C$17-D88),0)</f>
        <v>0</v>
      </c>
    </row>
    <row r="89" customFormat="false" ht="15" hidden="false" customHeight="false" outlineLevel="0" collapsed="false">
      <c r="B89" s="36" t="n">
        <v>25</v>
      </c>
      <c r="C89" s="31" t="n">
        <f aca="false">H88</f>
        <v>49499.0997953516</v>
      </c>
      <c r="D89" s="34" t="n">
        <f aca="false">IF($B89&lt;=A_Zinsbindung,$C$17,A_Zins_Anschluss)</f>
        <v>0.045</v>
      </c>
      <c r="E89" s="31" t="n">
        <f aca="false">IF($B89&lt;=A_Laufzeit,C89*D89,0)</f>
        <v>2227.45949079082</v>
      </c>
      <c r="F89" s="31" t="n">
        <f aca="false">IF($B89&lt;=A_Laufzeit,G89-E89,0)</f>
        <v>23721.2299124909</v>
      </c>
      <c r="G89" s="31" t="n">
        <f aca="false">IF($B89&lt;=A_Laufzeit,IF($B89&lt;=0,E89,$C$22),0)</f>
        <v>25948.6894032817</v>
      </c>
      <c r="H89" s="31" t="n">
        <f aca="false">MAX(0,C89-F89)</f>
        <v>25777.8698828606</v>
      </c>
      <c r="I89" s="31" t="n">
        <f aca="false">IF($B89&lt;=A_Laufzeit,C89*MAX(0,$C$17-D89),0)</f>
        <v>0</v>
      </c>
    </row>
    <row r="90" customFormat="false" ht="15" hidden="false" customHeight="false" outlineLevel="0" collapsed="false">
      <c r="B90" s="36" t="n">
        <v>26</v>
      </c>
      <c r="C90" s="31" t="n">
        <f aca="false">H89</f>
        <v>25777.8698828606</v>
      </c>
      <c r="D90" s="34" t="n">
        <f aca="false">IF($B90&lt;=A_Zinsbindung,$C$17,A_Zins_Anschluss)</f>
        <v>0.045</v>
      </c>
      <c r="E90" s="31" t="n">
        <f aca="false">IF($B90&lt;=A_Laufzeit,C90*D90,0)</f>
        <v>1160.00414472873</v>
      </c>
      <c r="F90" s="31" t="n">
        <f aca="false">IF($B90&lt;=A_Laufzeit,G90-E90,0)</f>
        <v>24788.685258553</v>
      </c>
      <c r="G90" s="31" t="n">
        <f aca="false">IF($B90&lt;=A_Laufzeit,IF($B90&lt;=0,E90,$C$22),0)</f>
        <v>25948.6894032817</v>
      </c>
      <c r="H90" s="31" t="n">
        <f aca="false">MAX(0,C90-F90)</f>
        <v>989.184624307607</v>
      </c>
      <c r="I90" s="31" t="n">
        <f aca="false">IF($B90&lt;=A_Laufzeit,C90*MAX(0,$C$17-D90),0)</f>
        <v>0</v>
      </c>
    </row>
    <row r="91" customFormat="false" ht="15" hidden="false" customHeight="false" outlineLevel="0" collapsed="false">
      <c r="B91" s="36" t="n">
        <v>27</v>
      </c>
      <c r="C91" s="31" t="n">
        <f aca="false">H90</f>
        <v>989.184624307607</v>
      </c>
      <c r="D91" s="34" t="n">
        <f aca="false">IF($B91&lt;=A_Zinsbindung,$C$17,A_Zins_Anschluss)</f>
        <v>0.045</v>
      </c>
      <c r="E91" s="31" t="n">
        <f aca="false">IF($B91&lt;=A_Laufzeit,C91*D91,0)</f>
        <v>44.5133080938423</v>
      </c>
      <c r="F91" s="31" t="n">
        <f aca="false">IF($B91&lt;=A_Laufzeit,G91-E91,0)</f>
        <v>25904.1760951879</v>
      </c>
      <c r="G91" s="31" t="n">
        <f aca="false">IF($B91&lt;=A_Laufzeit,IF($B91&lt;=0,E91,$C$22),0)</f>
        <v>25948.6894032817</v>
      </c>
      <c r="H91" s="31" t="n">
        <f aca="false">MAX(0,C91-F91)</f>
        <v>0</v>
      </c>
      <c r="I91" s="31" t="n">
        <f aca="false">IF($B91&lt;=A_Laufzeit,C91*MAX(0,$C$17-D91),0)</f>
        <v>0</v>
      </c>
    </row>
    <row r="92" customFormat="false" ht="15" hidden="false" customHeight="false" outlineLevel="0" collapsed="false">
      <c r="B92" s="36" t="n">
        <v>28</v>
      </c>
      <c r="C92" s="31" t="n">
        <f aca="false">H91</f>
        <v>0</v>
      </c>
      <c r="D92" s="34" t="n">
        <f aca="false">IF($B92&lt;=A_Zinsbindung,$C$17,A_Zins_Anschluss)</f>
        <v>0.045</v>
      </c>
      <c r="E92" s="31" t="n">
        <f aca="false">IF($B92&lt;=A_Laufzeit,C92*D92,0)</f>
        <v>0</v>
      </c>
      <c r="F92" s="31" t="n">
        <f aca="false">IF($B92&lt;=A_Laufzeit,G92-E92,0)</f>
        <v>25948.6894032817</v>
      </c>
      <c r="G92" s="31" t="n">
        <f aca="false">IF($B92&lt;=A_Laufzeit,IF($B92&lt;=0,E92,$C$22),0)</f>
        <v>25948.6894032817</v>
      </c>
      <c r="H92" s="31" t="n">
        <f aca="false">MAX(0,C92-F92)</f>
        <v>0</v>
      </c>
      <c r="I92" s="31" t="n">
        <f aca="false">IF($B92&lt;=A_Laufzeit,C92*MAX(0,$C$17-D92),0)</f>
        <v>0</v>
      </c>
    </row>
    <row r="93" customFormat="false" ht="15" hidden="false" customHeight="false" outlineLevel="0" collapsed="false">
      <c r="B93" s="36" t="n">
        <v>29</v>
      </c>
      <c r="C93" s="31" t="n">
        <f aca="false">H92</f>
        <v>0</v>
      </c>
      <c r="D93" s="34" t="n">
        <f aca="false">IF($B93&lt;=A_Zinsbindung,$C$17,A_Zins_Anschluss)</f>
        <v>0.045</v>
      </c>
      <c r="E93" s="31" t="n">
        <f aca="false">IF($B93&lt;=A_Laufzeit,C93*D93,0)</f>
        <v>0</v>
      </c>
      <c r="F93" s="31" t="n">
        <f aca="false">IF($B93&lt;=A_Laufzeit,G93-E93,0)</f>
        <v>25948.6894032817</v>
      </c>
      <c r="G93" s="31" t="n">
        <f aca="false">IF($B93&lt;=A_Laufzeit,IF($B93&lt;=0,E93,$C$22),0)</f>
        <v>25948.6894032817</v>
      </c>
      <c r="H93" s="31" t="n">
        <f aca="false">MAX(0,C93-F93)</f>
        <v>0</v>
      </c>
      <c r="I93" s="31" t="n">
        <f aca="false">IF($B93&lt;=A_Laufzeit,C93*MAX(0,$C$17-D93),0)</f>
        <v>0</v>
      </c>
    </row>
    <row r="94" customFormat="false" ht="15" hidden="false" customHeight="false" outlineLevel="0" collapsed="false">
      <c r="B94" s="36" t="n">
        <v>30</v>
      </c>
      <c r="C94" s="31" t="n">
        <f aca="false">H93</f>
        <v>0</v>
      </c>
      <c r="D94" s="34" t="n">
        <f aca="false">IF($B94&lt;=A_Zinsbindung,$C$17,A_Zins_Anschluss)</f>
        <v>0.045</v>
      </c>
      <c r="E94" s="31" t="n">
        <f aca="false">IF($B94&lt;=A_Laufzeit,C94*D94,0)</f>
        <v>0</v>
      </c>
      <c r="F94" s="31" t="n">
        <f aca="false">IF($B94&lt;=A_Laufzeit,G94-E94,0)</f>
        <v>25948.6894032817</v>
      </c>
      <c r="G94" s="31" t="n">
        <f aca="false">IF($B94&lt;=A_Laufzeit,IF($B94&lt;=0,E94,$C$22),0)</f>
        <v>25948.6894032817</v>
      </c>
      <c r="H94" s="31" t="n">
        <f aca="false">MAX(0,C94-F94)</f>
        <v>0</v>
      </c>
      <c r="I94" s="31" t="n">
        <f aca="false">IF($B94&lt;=A_Laufzeit,C94*MAX(0,$C$17-D94),0)</f>
        <v>0</v>
      </c>
    </row>
    <row r="95" customFormat="false" ht="15" hidden="false" customHeight="false" outlineLevel="0" collapsed="false">
      <c r="B95" s="36" t="n">
        <v>31</v>
      </c>
      <c r="C95" s="31" t="n">
        <f aca="false">H94</f>
        <v>0</v>
      </c>
      <c r="D95" s="34" t="n">
        <f aca="false">IF($B95&lt;=A_Zinsbindung,$C$17,A_Zins_Anschluss)</f>
        <v>0.045</v>
      </c>
      <c r="E95" s="31" t="n">
        <f aca="false">IF($B95&lt;=A_Laufzeit,C95*D95,0)</f>
        <v>0</v>
      </c>
      <c r="F95" s="31" t="n">
        <f aca="false">IF($B95&lt;=A_Laufzeit,G95-E95,0)</f>
        <v>0</v>
      </c>
      <c r="G95" s="31" t="n">
        <f aca="false">IF($B95&lt;=A_Laufzeit,IF($B95&lt;=0,E95,$C$22),0)</f>
        <v>0</v>
      </c>
      <c r="H95" s="31" t="n">
        <f aca="false">MAX(0,C95-F95)</f>
        <v>0</v>
      </c>
      <c r="I95" s="31" t="n">
        <f aca="false">IF($B95&lt;=A_Laufzeit,C95*MAX(0,$C$17-D95),0)</f>
        <v>0</v>
      </c>
    </row>
    <row r="96" customFormat="false" ht="15" hidden="false" customHeight="false" outlineLevel="0" collapsed="false">
      <c r="B96" s="36" t="n">
        <v>32</v>
      </c>
      <c r="C96" s="31" t="n">
        <f aca="false">H95</f>
        <v>0</v>
      </c>
      <c r="D96" s="34" t="n">
        <f aca="false">IF($B96&lt;=A_Zinsbindung,$C$17,A_Zins_Anschluss)</f>
        <v>0.045</v>
      </c>
      <c r="E96" s="31" t="n">
        <f aca="false">IF($B96&lt;=A_Laufzeit,C96*D96,0)</f>
        <v>0</v>
      </c>
      <c r="F96" s="31" t="n">
        <f aca="false">IF($B96&lt;=A_Laufzeit,G96-E96,0)</f>
        <v>0</v>
      </c>
      <c r="G96" s="31" t="n">
        <f aca="false">IF($B96&lt;=A_Laufzeit,IF($B96&lt;=0,E96,$C$22),0)</f>
        <v>0</v>
      </c>
      <c r="H96" s="31" t="n">
        <f aca="false">MAX(0,C96-F96)</f>
        <v>0</v>
      </c>
      <c r="I96" s="31" t="n">
        <f aca="false">IF($B96&lt;=A_Laufzeit,C96*MAX(0,$C$17-D96),0)</f>
        <v>0</v>
      </c>
    </row>
    <row r="97" customFormat="false" ht="15" hidden="false" customHeight="false" outlineLevel="0" collapsed="false">
      <c r="B97" s="36" t="n">
        <v>33</v>
      </c>
      <c r="C97" s="31" t="n">
        <f aca="false">H96</f>
        <v>0</v>
      </c>
      <c r="D97" s="34" t="n">
        <f aca="false">IF($B97&lt;=A_Zinsbindung,$C$17,A_Zins_Anschluss)</f>
        <v>0.045</v>
      </c>
      <c r="E97" s="31" t="n">
        <f aca="false">IF($B97&lt;=A_Laufzeit,C97*D97,0)</f>
        <v>0</v>
      </c>
      <c r="F97" s="31" t="n">
        <f aca="false">IF($B97&lt;=A_Laufzeit,G97-E97,0)</f>
        <v>0</v>
      </c>
      <c r="G97" s="31" t="n">
        <f aca="false">IF($B97&lt;=A_Laufzeit,IF($B97&lt;=0,E97,$C$22),0)</f>
        <v>0</v>
      </c>
      <c r="H97" s="31" t="n">
        <f aca="false">MAX(0,C97-F97)</f>
        <v>0</v>
      </c>
      <c r="I97" s="31" t="n">
        <f aca="false">IF($B97&lt;=A_Laufzeit,C97*MAX(0,$C$17-D97),0)</f>
        <v>0</v>
      </c>
    </row>
    <row r="98" customFormat="false" ht="15" hidden="false" customHeight="false" outlineLevel="0" collapsed="false">
      <c r="B98" s="36" t="n">
        <v>34</v>
      </c>
      <c r="C98" s="31" t="n">
        <f aca="false">H97</f>
        <v>0</v>
      </c>
      <c r="D98" s="34" t="n">
        <f aca="false">IF($B98&lt;=A_Zinsbindung,$C$17,A_Zins_Anschluss)</f>
        <v>0.045</v>
      </c>
      <c r="E98" s="31" t="n">
        <f aca="false">IF($B98&lt;=A_Laufzeit,C98*D98,0)</f>
        <v>0</v>
      </c>
      <c r="F98" s="31" t="n">
        <f aca="false">IF($B98&lt;=A_Laufzeit,G98-E98,0)</f>
        <v>0</v>
      </c>
      <c r="G98" s="31" t="n">
        <f aca="false">IF($B98&lt;=A_Laufzeit,IF($B98&lt;=0,E98,$C$22),0)</f>
        <v>0</v>
      </c>
      <c r="H98" s="31" t="n">
        <f aca="false">MAX(0,C98-F98)</f>
        <v>0</v>
      </c>
      <c r="I98" s="31" t="n">
        <f aca="false">IF($B98&lt;=A_Laufzeit,C98*MAX(0,$C$17-D98),0)</f>
        <v>0</v>
      </c>
    </row>
    <row r="99" customFormat="false" ht="15" hidden="false" customHeight="false" outlineLevel="0" collapsed="false">
      <c r="B99" s="36" t="n">
        <v>35</v>
      </c>
      <c r="C99" s="31" t="n">
        <f aca="false">H98</f>
        <v>0</v>
      </c>
      <c r="D99" s="34" t="n">
        <f aca="false">IF($B99&lt;=A_Zinsbindung,$C$17,A_Zins_Anschluss)</f>
        <v>0.045</v>
      </c>
      <c r="E99" s="31" t="n">
        <f aca="false">IF($B99&lt;=A_Laufzeit,C99*D99,0)</f>
        <v>0</v>
      </c>
      <c r="F99" s="31" t="n">
        <f aca="false">IF($B99&lt;=A_Laufzeit,G99-E99,0)</f>
        <v>0</v>
      </c>
      <c r="G99" s="31" t="n">
        <f aca="false">IF($B99&lt;=A_Laufzeit,IF($B99&lt;=0,E99,$C$22),0)</f>
        <v>0</v>
      </c>
      <c r="H99" s="31" t="n">
        <f aca="false">MAX(0,C99-F99)</f>
        <v>0</v>
      </c>
      <c r="I99" s="31" t="n">
        <f aca="false">IF($B99&lt;=A_Laufzeit,C99*MAX(0,$C$17-D99),0)</f>
        <v>0</v>
      </c>
    </row>
    <row r="101" customFormat="false" ht="15" hidden="false" customHeight="false" outlineLevel="0" collapsed="false">
      <c r="B101" s="14" t="s">
        <v>684</v>
      </c>
      <c r="C101" s="14"/>
      <c r="D101" s="14"/>
      <c r="E101" s="14"/>
    </row>
    <row r="102" customFormat="false" ht="15" hidden="false" customHeight="false" outlineLevel="0" collapsed="false">
      <c r="B102" s="4" t="s">
        <v>685</v>
      </c>
      <c r="C102" s="31" t="n">
        <f aca="false">INDEX(H27:H61,A_Zinsbindung)</f>
        <v>93791.6522988098</v>
      </c>
      <c r="E102" s="7" t="s">
        <v>686</v>
      </c>
    </row>
    <row r="103" customFormat="false" ht="15" hidden="false" customHeight="false" outlineLevel="0" collapsed="false">
      <c r="B103" s="4" t="s">
        <v>687</v>
      </c>
      <c r="C103" s="31" t="n">
        <f aca="false">INDEX(H65:H99,A_Zinsbindung)</f>
        <v>291997.088712353</v>
      </c>
    </row>
    <row r="104" customFormat="false" ht="15" hidden="false" customHeight="false" outlineLevel="0" collapsed="false">
      <c r="B104" s="32" t="s">
        <v>688</v>
      </c>
      <c r="C104" s="33" t="n">
        <f aca="false">C102+C103</f>
        <v>385788.741011163</v>
      </c>
    </row>
    <row r="105" customFormat="false" ht="15" hidden="false" customHeight="false" outlineLevel="0" collapsed="false">
      <c r="B105" s="4" t="s">
        <v>689</v>
      </c>
      <c r="C105" s="31" t="n">
        <f aca="false">SUM(E27:E61)</f>
        <v>91970.1066167256</v>
      </c>
    </row>
    <row r="106" customFormat="false" ht="15" hidden="false" customHeight="false" outlineLevel="0" collapsed="false">
      <c r="B106" s="4" t="s">
        <v>690</v>
      </c>
      <c r="C106" s="31" t="n">
        <f aca="false">SUM(E65:E99)</f>
        <v>260520.591965219</v>
      </c>
    </row>
    <row r="107" customFormat="false" ht="15" hidden="false" customHeight="false" outlineLevel="0" collapsed="false">
      <c r="B107" s="32" t="s">
        <v>691</v>
      </c>
      <c r="C107" s="33" t="n">
        <f aca="false">C105+C106</f>
        <v>352490.698581945</v>
      </c>
    </row>
    <row r="108" customFormat="false" ht="15" hidden="false" customHeight="false" outlineLevel="0" collapsed="false">
      <c r="B108" s="32" t="s">
        <v>692</v>
      </c>
      <c r="C108" s="33" t="n">
        <f aca="false">SUM(I27:I61)+SUM(I65:I99)</f>
        <v>15563.3252873335</v>
      </c>
    </row>
    <row r="109" customFormat="false" ht="15" hidden="false" customHeight="false" outlineLevel="0" collapsed="false">
      <c r="B109" s="4" t="s">
        <v>693</v>
      </c>
      <c r="C109" s="34" t="n">
        <f aca="false">IF(C6=0,0,(C9*C10+C14*C17)/C6)</f>
        <v>0.0346971996011658</v>
      </c>
    </row>
    <row r="110" customFormat="false" ht="15" hidden="false" customHeight="false" outlineLevel="0" collapsed="false">
      <c r="B110" s="32" t="s">
        <v>694</v>
      </c>
      <c r="C110" s="33" t="n">
        <f aca="false">INDEX(H27:H61,A_Laufzeit)+INDEX(H65:H99,A_Laufzeit)</f>
        <v>37970.1066167256</v>
      </c>
      <c r="E110" s="37" t="s">
        <v>695</v>
      </c>
    </row>
  </sheetData>
  <mergeCells count="5">
    <mergeCell ref="B3:E3"/>
    <mergeCell ref="B20:E20"/>
    <mergeCell ref="B25:I25"/>
    <mergeCell ref="B63:I63"/>
    <mergeCell ref="B101:E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20"/>
    <col collapsed="false" customWidth="true" hidden="false" outlineLevel="0" max="7" min="7" style="0" width="16"/>
    <col collapsed="false" customWidth="true" hidden="false" outlineLevel="0" max="8" min="8" style="0" width="18"/>
  </cols>
  <sheetData>
    <row r="1" customFormat="false" ht="17.35" hidden="false" customHeight="false" outlineLevel="0" collapsed="false">
      <c r="B1" s="1" t="s">
        <v>696</v>
      </c>
    </row>
    <row r="3" customFormat="false" ht="15" hidden="false" customHeight="false" outlineLevel="0" collapsed="false">
      <c r="B3" s="14" t="s">
        <v>697</v>
      </c>
      <c r="C3" s="14"/>
      <c r="D3" s="14"/>
      <c r="E3" s="14"/>
    </row>
    <row r="4" customFormat="false" ht="15" hidden="false" customHeight="false" outlineLevel="0" collapsed="false">
      <c r="B4" s="4" t="s">
        <v>698</v>
      </c>
      <c r="C4" s="38" t="n">
        <f aca="false">10_Beispiel_Luebbecke!$C$27</f>
        <v>6</v>
      </c>
    </row>
    <row r="5" customFormat="false" ht="15" hidden="false" customHeight="false" outlineLevel="0" collapsed="false">
      <c r="B5" s="4" t="s">
        <v>699</v>
      </c>
      <c r="C5" s="13" t="n">
        <f aca="false">11_Beispiel_Luebbecke!$C$13</f>
        <v>366340.520101395</v>
      </c>
    </row>
    <row r="6" customFormat="false" ht="15" hidden="false" customHeight="false" outlineLevel="0" collapsed="false">
      <c r="B6" s="4" t="s">
        <v>700</v>
      </c>
      <c r="C6" s="13" t="n">
        <f aca="false">12_Beispiel_Luebbecke!$C$6</f>
        <v>535179.030452508</v>
      </c>
    </row>
    <row r="8" customFormat="false" ht="15" hidden="false" customHeight="false" outlineLevel="0" collapsed="false">
      <c r="B8" s="14" t="s">
        <v>701</v>
      </c>
      <c r="C8" s="14"/>
      <c r="D8" s="14"/>
      <c r="E8" s="14"/>
      <c r="F8" s="14"/>
      <c r="G8" s="14"/>
      <c r="H8" s="14"/>
    </row>
    <row r="9" customFormat="false" ht="35.05" hidden="false" customHeight="false" outlineLevel="0" collapsed="false">
      <c r="B9" s="11" t="s">
        <v>702</v>
      </c>
      <c r="C9" s="11" t="s">
        <v>703</v>
      </c>
      <c r="D9" s="11" t="s">
        <v>704</v>
      </c>
      <c r="E9" s="11" t="s">
        <v>705</v>
      </c>
      <c r="F9" s="11" t="s">
        <v>706</v>
      </c>
      <c r="G9" s="11" t="s">
        <v>707</v>
      </c>
      <c r="H9" s="11" t="s">
        <v>708</v>
      </c>
    </row>
    <row r="10" customFormat="false" ht="15" hidden="false" customHeight="false" outlineLevel="0" collapsed="false">
      <c r="B10" s="36" t="n">
        <v>1</v>
      </c>
      <c r="C10" s="39" t="n">
        <v>0.2</v>
      </c>
      <c r="D10" s="31" t="n">
        <f aca="false">C10*$C$5</f>
        <v>73268.104020279</v>
      </c>
      <c r="E10" s="31" t="n">
        <f aca="false">D10</f>
        <v>73268.104020279</v>
      </c>
      <c r="F10" s="31" t="n">
        <f aca="false">$C$6</f>
        <v>535179.030452508</v>
      </c>
      <c r="G10" s="31" t="n">
        <f aca="false">IF(B10&lt;=A_Bereit_frei,0,F10*A_Bereitstellung)</f>
        <v>0</v>
      </c>
      <c r="H10" s="40" t="n">
        <v>0</v>
      </c>
    </row>
    <row r="11" customFormat="false" ht="15" hidden="false" customHeight="false" outlineLevel="0" collapsed="false">
      <c r="B11" s="36" t="n">
        <v>2</v>
      </c>
      <c r="C11" s="39" t="n">
        <v>0.15</v>
      </c>
      <c r="D11" s="31" t="n">
        <f aca="false">C11*$C$5</f>
        <v>54951.0780152093</v>
      </c>
      <c r="E11" s="31" t="n">
        <f aca="false">E10+D11</f>
        <v>128219.182035488</v>
      </c>
      <c r="F11" s="31" t="n">
        <f aca="false">MAX(0,$C$6-E10)</f>
        <v>461910.926432229</v>
      </c>
      <c r="G11" s="31" t="n">
        <f aca="false">IF(B11&lt;=A_Bereit_frei,0,F11*A_Bereitstellung)</f>
        <v>0</v>
      </c>
      <c r="H11" s="40" t="n">
        <v>0</v>
      </c>
    </row>
    <row r="12" customFormat="false" ht="15" hidden="false" customHeight="false" outlineLevel="0" collapsed="false">
      <c r="B12" s="36" t="n">
        <v>3</v>
      </c>
      <c r="C12" s="39" t="n">
        <v>0.15</v>
      </c>
      <c r="D12" s="31" t="n">
        <f aca="false">C12*$C$5</f>
        <v>54951.0780152093</v>
      </c>
      <c r="E12" s="31" t="n">
        <f aca="false">E11+D12</f>
        <v>183170.260050698</v>
      </c>
      <c r="F12" s="31" t="n">
        <f aca="false">MAX(0,$C$6-E11)</f>
        <v>406959.84841702</v>
      </c>
      <c r="G12" s="31" t="n">
        <f aca="false">IF(B12&lt;=A_Bereit_frei,0,F12*A_Bereitstellung)</f>
        <v>0</v>
      </c>
      <c r="H12" s="40" t="n">
        <v>0</v>
      </c>
    </row>
    <row r="13" customFormat="false" ht="15" hidden="false" customHeight="false" outlineLevel="0" collapsed="false">
      <c r="B13" s="36" t="n">
        <v>4</v>
      </c>
      <c r="C13" s="39" t="n">
        <v>0.15</v>
      </c>
      <c r="D13" s="31" t="n">
        <f aca="false">C13*$C$5</f>
        <v>54951.0780152093</v>
      </c>
      <c r="E13" s="31" t="n">
        <f aca="false">E12+D13</f>
        <v>238121.338065907</v>
      </c>
      <c r="F13" s="31" t="n">
        <f aca="false">MAX(0,$C$6-E12)</f>
        <v>352008.77040181</v>
      </c>
      <c r="G13" s="31" t="n">
        <f aca="false">IF(B13&lt;=A_Bereit_frei,0,F13*A_Bereitstellung)</f>
        <v>0</v>
      </c>
      <c r="H13" s="40" t="n">
        <v>0</v>
      </c>
    </row>
    <row r="14" customFormat="false" ht="15" hidden="false" customHeight="false" outlineLevel="0" collapsed="false">
      <c r="B14" s="36" t="n">
        <v>5</v>
      </c>
      <c r="C14" s="39" t="n">
        <v>0.15</v>
      </c>
      <c r="D14" s="31" t="n">
        <f aca="false">C14*$C$5</f>
        <v>54951.0780152093</v>
      </c>
      <c r="E14" s="31" t="n">
        <f aca="false">E13+D14</f>
        <v>293072.416081116</v>
      </c>
      <c r="F14" s="31" t="n">
        <f aca="false">MAX(0,$C$6-E13)</f>
        <v>297057.692386601</v>
      </c>
      <c r="G14" s="31" t="n">
        <f aca="false">IF(B14&lt;=A_Bereit_frei,0,F14*A_Bereitstellung)</f>
        <v>0</v>
      </c>
      <c r="H14" s="40" t="n">
        <v>0</v>
      </c>
    </row>
    <row r="15" customFormat="false" ht="15" hidden="false" customHeight="false" outlineLevel="0" collapsed="false">
      <c r="B15" s="36" t="n">
        <v>6</v>
      </c>
      <c r="C15" s="39" t="n">
        <v>0.2</v>
      </c>
      <c r="D15" s="31" t="n">
        <f aca="false">C15*$C$5</f>
        <v>73268.104020279</v>
      </c>
      <c r="E15" s="31" t="n">
        <f aca="false">E14+D15</f>
        <v>366340.520101395</v>
      </c>
      <c r="F15" s="31" t="n">
        <f aca="false">MAX(0,$C$6-E14)</f>
        <v>242106.614371392</v>
      </c>
      <c r="G15" s="31" t="n">
        <f aca="false">IF(B15&lt;=A_Bereit_frei,0,F15*A_Bereitstellung)</f>
        <v>0</v>
      </c>
      <c r="H15" s="40" t="n">
        <v>0</v>
      </c>
    </row>
    <row r="16" customFormat="false" ht="15" hidden="false" customHeight="false" outlineLevel="0" collapsed="false">
      <c r="B16" s="36" t="n">
        <v>7</v>
      </c>
      <c r="C16" s="39" t="n">
        <v>0</v>
      </c>
      <c r="D16" s="31" t="n">
        <f aca="false">C16*$C$5</f>
        <v>0</v>
      </c>
      <c r="E16" s="31" t="n">
        <f aca="false">E15+D16</f>
        <v>366340.520101395</v>
      </c>
      <c r="F16" s="31" t="n">
        <f aca="false">MAX(0,$C$6-E15)</f>
        <v>168838.510351113</v>
      </c>
      <c r="G16" s="31" t="n">
        <f aca="false">IF(B16&lt;=A_Bereit_frei,0,F16*A_Bereitstellung)</f>
        <v>422.096275877782</v>
      </c>
      <c r="H16" s="40" t="n">
        <v>0</v>
      </c>
    </row>
    <row r="17" customFormat="false" ht="15" hidden="false" customHeight="false" outlineLevel="0" collapsed="false">
      <c r="B17" s="36" t="n">
        <v>8</v>
      </c>
      <c r="C17" s="39" t="n">
        <v>0</v>
      </c>
      <c r="D17" s="31" t="n">
        <f aca="false">C17*$C$5</f>
        <v>0</v>
      </c>
      <c r="E17" s="31" t="n">
        <f aca="false">E16+D17</f>
        <v>366340.520101395</v>
      </c>
      <c r="F17" s="31" t="n">
        <f aca="false">MAX(0,$C$6-E16)</f>
        <v>168838.510351113</v>
      </c>
      <c r="G17" s="31" t="n">
        <f aca="false">IF(B17&lt;=A_Bereit_frei,0,F17*A_Bereitstellung)</f>
        <v>422.096275877782</v>
      </c>
      <c r="H17" s="40" t="n">
        <v>0</v>
      </c>
    </row>
    <row r="18" customFormat="false" ht="15" hidden="false" customHeight="false" outlineLevel="0" collapsed="false">
      <c r="B18" s="36" t="n">
        <v>9</v>
      </c>
      <c r="C18" s="39" t="n">
        <v>0</v>
      </c>
      <c r="D18" s="31" t="n">
        <f aca="false">C18*$C$5</f>
        <v>0</v>
      </c>
      <c r="E18" s="31" t="n">
        <f aca="false">E17+D18</f>
        <v>366340.520101395</v>
      </c>
      <c r="F18" s="31" t="n">
        <f aca="false">MAX(0,$C$6-E17)</f>
        <v>168838.510351113</v>
      </c>
      <c r="G18" s="31" t="n">
        <f aca="false">IF(B18&lt;=A_Bereit_frei,0,F18*A_Bereitstellung)</f>
        <v>422.096275877782</v>
      </c>
      <c r="H18" s="40" t="n">
        <v>0</v>
      </c>
    </row>
    <row r="19" customFormat="false" ht="15" hidden="false" customHeight="false" outlineLevel="0" collapsed="false">
      <c r="B19" s="36" t="n">
        <v>10</v>
      </c>
      <c r="C19" s="39" t="n">
        <v>0</v>
      </c>
      <c r="D19" s="31" t="n">
        <f aca="false">C19*$C$5</f>
        <v>0</v>
      </c>
      <c r="E19" s="31" t="n">
        <f aca="false">E18+D19</f>
        <v>366340.520101395</v>
      </c>
      <c r="F19" s="31" t="n">
        <f aca="false">MAX(0,$C$6-E18)</f>
        <v>168838.510351113</v>
      </c>
      <c r="G19" s="31" t="n">
        <f aca="false">IF(B19&lt;=A_Bereit_frei,0,F19*A_Bereitstellung)</f>
        <v>422.096275877782</v>
      </c>
      <c r="H19" s="40" t="n">
        <v>0</v>
      </c>
    </row>
    <row r="20" customFormat="false" ht="15" hidden="false" customHeight="false" outlineLevel="0" collapsed="false">
      <c r="B20" s="36" t="n">
        <v>11</v>
      </c>
      <c r="C20" s="39" t="n">
        <v>0</v>
      </c>
      <c r="D20" s="31" t="n">
        <f aca="false">C20*$C$5</f>
        <v>0</v>
      </c>
      <c r="E20" s="31" t="n">
        <f aca="false">E19+D20</f>
        <v>366340.520101395</v>
      </c>
      <c r="F20" s="31" t="n">
        <f aca="false">MAX(0,$C$6-E19)</f>
        <v>168838.510351113</v>
      </c>
      <c r="G20" s="31" t="n">
        <f aca="false">IF(B20&lt;=A_Bereit_frei,0,F20*A_Bereitstellung)</f>
        <v>422.096275877782</v>
      </c>
      <c r="H20" s="40" t="n">
        <v>0</v>
      </c>
    </row>
    <row r="21" customFormat="false" ht="15" hidden="false" customHeight="false" outlineLevel="0" collapsed="false">
      <c r="B21" s="36" t="n">
        <v>12</v>
      </c>
      <c r="C21" s="39" t="n">
        <v>0</v>
      </c>
      <c r="D21" s="31" t="n">
        <f aca="false">C21*$C$5</f>
        <v>0</v>
      </c>
      <c r="E21" s="31" t="n">
        <f aca="false">E20+D21</f>
        <v>366340.520101395</v>
      </c>
      <c r="F21" s="31" t="n">
        <f aca="false">MAX(0,$C$6-E20)</f>
        <v>168838.510351113</v>
      </c>
      <c r="G21" s="31" t="n">
        <f aca="false">IF(B21&lt;=A_Bereit_frei,0,F21*A_Bereitstellung)</f>
        <v>422.096275877782</v>
      </c>
      <c r="H21" s="40" t="n">
        <v>0</v>
      </c>
    </row>
    <row r="22" customFormat="false" ht="15" hidden="false" customHeight="false" outlineLevel="0" collapsed="false">
      <c r="B22" s="32" t="s">
        <v>709</v>
      </c>
      <c r="C22" s="41" t="n">
        <f aca="false">SUM(C10:C21)</f>
        <v>1</v>
      </c>
      <c r="D22" s="42" t="n">
        <f aca="false">SUM(D10:D21)</f>
        <v>366340.520101395</v>
      </c>
      <c r="G22" s="42" t="n">
        <f aca="false">SUM(G10:G21)</f>
        <v>2532.57765526669</v>
      </c>
    </row>
    <row r="23" customFormat="false" ht="15" hidden="false" customHeight="false" outlineLevel="0" collapsed="false">
      <c r="B23" s="37" t="str">
        <f aca="false">IF(ABS(C22-1)&gt;0.001,"WARNUNG: Anteile summieren nicht auf 100%","")</f>
        <v/>
      </c>
    </row>
    <row r="25" customFormat="false" ht="15" hidden="false" customHeight="false" outlineLevel="0" collapsed="false">
      <c r="B25" s="14" t="s">
        <v>710</v>
      </c>
      <c r="C25" s="14"/>
      <c r="D25" s="14"/>
      <c r="E25" s="14"/>
    </row>
    <row r="26" customFormat="false" ht="15" hidden="false" customHeight="false" outlineLevel="0" collapsed="false">
      <c r="B26" s="4" t="s">
        <v>711</v>
      </c>
      <c r="C26" s="31" t="n">
        <f aca="false">IF(10_Beispiel_Luebbecke!$C$28="Ja",10_Beispiel_Luebbecke!$C$29*10_Beispiel_Luebbecke!$C$27,0)</f>
        <v>5400</v>
      </c>
    </row>
    <row r="27" customFormat="false" ht="15" hidden="false" customHeight="false" outlineLevel="0" collapsed="false">
      <c r="B27" s="4" t="s">
        <v>712</v>
      </c>
      <c r="C27" s="31" t="n">
        <f aca="false">G22</f>
        <v>2532.57765526669</v>
      </c>
    </row>
    <row r="28" customFormat="false" ht="15" hidden="false" customHeight="false" outlineLevel="0" collapsed="false">
      <c r="B28" s="32" t="s">
        <v>713</v>
      </c>
      <c r="C28" s="33" t="n">
        <f aca="false">C26+C27</f>
        <v>7932.57765526669</v>
      </c>
      <c r="E28" s="7" t="s">
        <v>714</v>
      </c>
    </row>
    <row r="30" customFormat="false" ht="15" hidden="false" customHeight="false" outlineLevel="0" collapsed="false">
      <c r="B30" s="14" t="s">
        <v>715</v>
      </c>
      <c r="C30" s="14"/>
      <c r="D30" s="14"/>
      <c r="E30" s="14"/>
    </row>
    <row r="31" customFormat="false" ht="15" hidden="false" customHeight="false" outlineLevel="0" collapsed="false">
      <c r="B31" s="4" t="s">
        <v>716</v>
      </c>
      <c r="C31" s="36" t="n">
        <f aca="false">MAX(H10:H21)</f>
        <v>0</v>
      </c>
    </row>
    <row r="32" customFormat="false" ht="15" hidden="false" customHeight="false" outlineLevel="0" collapsed="false">
      <c r="B32" s="4" t="s">
        <v>717</v>
      </c>
      <c r="C32" s="4" t="str">
        <f aca="false">IF(C31&gt;60,"Terminrisiko: über 60h Eigenleistung in einem Monat geplant - realistisch neben Beruf pruefen?","unauffällig")</f>
        <v>unauffällig</v>
      </c>
    </row>
  </sheetData>
  <mergeCells count="4">
    <mergeCell ref="B3:E3"/>
    <mergeCell ref="B8:H8"/>
    <mergeCell ref="B25:E25"/>
    <mergeCell ref="B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4" min="3" style="0" width="18"/>
    <col collapsed="false" customWidth="true" hidden="false" outlineLevel="0" max="6" min="5" style="0" width="16"/>
  </cols>
  <sheetData>
    <row r="1" customFormat="false" ht="17.35" hidden="false" customHeight="false" outlineLevel="0" collapsed="false">
      <c r="B1" s="1" t="s">
        <v>718</v>
      </c>
    </row>
    <row r="3" customFormat="false" ht="15" hidden="false" customHeight="false" outlineLevel="0" collapsed="false">
      <c r="B3" s="14" t="s">
        <v>719</v>
      </c>
      <c r="C3" s="14"/>
      <c r="D3" s="14"/>
      <c r="E3" s="14"/>
    </row>
    <row r="4" customFormat="false" ht="15" hidden="false" customHeight="false" outlineLevel="0" collapsed="false">
      <c r="B4" s="4" t="s">
        <v>720</v>
      </c>
      <c r="C4" s="43" t="n">
        <f aca="false">IF(10_Beispiel_Luebbecke!$C$18="Gasheizung",A_P_Gas,IF(10_Beispiel_Luebbecke!$C$18="Ölheizung",A_P_Oel,IF(10_Beispiel_Luebbecke!$C$18="Nachtspeicher",A_P_Strom,IF(10_Beispiel_Luebbecke!$C$18="Fernwärme",A_P_Fernwaerme,IF(10_Beispiel_Luebbecke!$C$18="Wärmepumpe",A_P_WPStrom,A_P_Gas)))))</f>
        <v>0.1</v>
      </c>
      <c r="D4" s="7" t="s">
        <v>145</v>
      </c>
    </row>
    <row r="5" customFormat="false" ht="15" hidden="false" customHeight="false" outlineLevel="0" collapsed="false">
      <c r="B5" s="4" t="s">
        <v>721</v>
      </c>
      <c r="C5" s="36" t="n">
        <f aca="false">IF(10_Beispiel_Luebbecke!$C$18="Gasheizung",A_CO2_Gas,IF(10_Beispiel_Luebbecke!$C$18="Ölheizung",A_CO2_Oel,IF(10_Beispiel_Luebbecke!$C$18="Nachtspeicher",A_CO2_Strom,IF(10_Beispiel_Luebbecke!$C$18="Fernwärme",A_CO2_Fernwaerme,IF(10_Beispiel_Luebbecke!$C$18="Wärmepumpe",A_CO2_Strom,A_CO2_Gas)))))</f>
        <v>201</v>
      </c>
      <c r="D5" s="7" t="s">
        <v>185</v>
      </c>
    </row>
    <row r="7" customFormat="false" ht="15" hidden="false" customHeight="false" outlineLevel="0" collapsed="false">
      <c r="B7" s="14" t="s">
        <v>722</v>
      </c>
      <c r="C7" s="14"/>
      <c r="D7" s="14"/>
      <c r="E7" s="14"/>
    </row>
    <row r="8" customFormat="false" ht="15" hidden="false" customHeight="false" outlineLevel="0" collapsed="false">
      <c r="B8" s="4" t="s">
        <v>723</v>
      </c>
      <c r="C8" s="36" t="n">
        <f aca="false">IF(10_Beispiel_Luebbecke!$C$17&gt;0,10_Beispiel_Luebbecke!$C$17,LOOKUP(10_Beispiel_Luebbecke!$C$7,05_Energiekennwerte!$B$5:$B$9,05_Energiekennwerte!$D$5:$D$9))</f>
        <v>165</v>
      </c>
      <c r="D8" s="7" t="s">
        <v>517</v>
      </c>
    </row>
    <row r="9" customFormat="false" ht="15" hidden="false" customHeight="false" outlineLevel="0" collapsed="false">
      <c r="B9" s="4" t="s">
        <v>724</v>
      </c>
      <c r="C9" s="44" t="n">
        <f aca="false">C8*10_Beispiel_Luebbecke!$C$9</f>
        <v>22770</v>
      </c>
      <c r="D9" s="7" t="s">
        <v>179</v>
      </c>
    </row>
    <row r="10" customFormat="false" ht="15" hidden="false" customHeight="false" outlineLevel="0" collapsed="false">
      <c r="B10" s="32" t="s">
        <v>725</v>
      </c>
      <c r="C10" s="33" t="n">
        <f aca="false">C9*C4</f>
        <v>2277</v>
      </c>
    </row>
    <row r="12" customFormat="false" ht="15" hidden="false" customHeight="false" outlineLevel="0" collapsed="false">
      <c r="B12" s="14" t="s">
        <v>726</v>
      </c>
      <c r="C12" s="14"/>
      <c r="D12" s="14"/>
      <c r="E12" s="14"/>
    </row>
    <row r="13" customFormat="false" ht="15" hidden="false" customHeight="false" outlineLevel="0" collapsed="false">
      <c r="B13" s="4" t="s">
        <v>727</v>
      </c>
      <c r="C13" s="36" t="n">
        <f aca="false">INDEX(05_Energiekennwerte!$C$13:$C$15,MATCH(10_Beispiel_Luebbecke!$C$21,05_Energiekennwerte!$B$13:$B$15,0))</f>
        <v>65</v>
      </c>
      <c r="D13" s="7" t="s">
        <v>517</v>
      </c>
    </row>
    <row r="14" customFormat="false" ht="15" hidden="false" customHeight="false" outlineLevel="0" collapsed="false">
      <c r="B14" s="4" t="s">
        <v>728</v>
      </c>
      <c r="C14" s="44" t="n">
        <f aca="false">C13*10_Beispiel_Luebbecke!$C$9</f>
        <v>8970</v>
      </c>
      <c r="D14" s="7" t="s">
        <v>179</v>
      </c>
    </row>
    <row r="15" customFormat="false" ht="15" hidden="false" customHeight="false" outlineLevel="0" collapsed="false">
      <c r="B15" s="4" t="s">
        <v>729</v>
      </c>
      <c r="C15" s="44" t="n">
        <f aca="false">10_Beispiel_Luebbecke!$C$47*A_WW_Person</f>
        <v>3000</v>
      </c>
      <c r="D15" s="7" t="s">
        <v>179</v>
      </c>
    </row>
    <row r="16" customFormat="false" ht="15" hidden="false" customHeight="false" outlineLevel="0" collapsed="false">
      <c r="B16" s="4" t="s">
        <v>730</v>
      </c>
      <c r="C16" s="44" t="n">
        <f aca="false">C14+C15</f>
        <v>11970</v>
      </c>
      <c r="D16" s="7" t="s">
        <v>179</v>
      </c>
    </row>
    <row r="17" customFormat="false" ht="15" hidden="false" customHeight="false" outlineLevel="0" collapsed="false">
      <c r="B17" s="4" t="s">
        <v>731</v>
      </c>
      <c r="C17" s="23" t="n">
        <f aca="false">IF(10_Beispiel_Luebbecke!$S$65="JA",A_JAZ_FBH,IF(10_Beispiel_Luebbecke!$S$66="JA",A_JAZ_HK45,A_JAZ_HK55))</f>
        <v>4.5</v>
      </c>
      <c r="D17" s="7" t="s">
        <v>173</v>
      </c>
    </row>
    <row r="18" customFormat="false" ht="15" hidden="false" customHeight="false" outlineLevel="0" collapsed="false">
      <c r="B18" s="4" t="s">
        <v>732</v>
      </c>
      <c r="C18" s="44" t="n">
        <f aca="false">C16/C17</f>
        <v>2660</v>
      </c>
      <c r="D18" s="7" t="s">
        <v>179</v>
      </c>
    </row>
    <row r="19" customFormat="false" ht="15" hidden="false" customHeight="false" outlineLevel="0" collapsed="false">
      <c r="B19" s="4" t="s">
        <v>733</v>
      </c>
      <c r="C19" s="44" t="n">
        <f aca="false">10_Beispiel_Luebbecke!$C$47*A_HH_Strom_Person</f>
        <v>3900</v>
      </c>
      <c r="D19" s="7" t="s">
        <v>179</v>
      </c>
    </row>
    <row r="20" customFormat="false" ht="15" hidden="false" customHeight="false" outlineLevel="0" collapsed="false">
      <c r="B20" s="4" t="s">
        <v>734</v>
      </c>
      <c r="C20" s="44" t="n">
        <f aca="false">C18+C19</f>
        <v>6560</v>
      </c>
      <c r="D20" s="7" t="s">
        <v>179</v>
      </c>
    </row>
    <row r="22" customFormat="false" ht="15" hidden="false" customHeight="false" outlineLevel="0" collapsed="false">
      <c r="B22" s="14" t="s">
        <v>735</v>
      </c>
      <c r="C22" s="14"/>
      <c r="D22" s="14"/>
      <c r="E22" s="14"/>
    </row>
    <row r="23" customFormat="false" ht="15" hidden="false" customHeight="false" outlineLevel="0" collapsed="false">
      <c r="B23" s="4" t="s">
        <v>736</v>
      </c>
      <c r="C23" s="44" t="n">
        <f aca="false">10_Beispiel_Luebbecke!$C$45*A_PV_Ertrag*IF(10_Beispiel_Luebbecke!$C$31="Ost-West",A_PV_OW,1)</f>
        <v>7746.81818181818</v>
      </c>
      <c r="D23" s="7" t="s">
        <v>179</v>
      </c>
    </row>
    <row r="24" customFormat="false" ht="15" hidden="false" customHeight="false" outlineLevel="0" collapsed="false">
      <c r="B24" s="4" t="s">
        <v>737</v>
      </c>
      <c r="C24" s="44" t="n">
        <f aca="false">MIN(C23*A_PV_EV,C20)</f>
        <v>5422.77272727273</v>
      </c>
      <c r="D24" s="7" t="s">
        <v>179</v>
      </c>
    </row>
    <row r="25" customFormat="false" ht="15" hidden="false" customHeight="false" outlineLevel="0" collapsed="false">
      <c r="B25" s="4" t="s">
        <v>738</v>
      </c>
      <c r="C25" s="44" t="n">
        <f aca="false">C23-C24</f>
        <v>2324.04545454546</v>
      </c>
      <c r="D25" s="7" t="s">
        <v>179</v>
      </c>
    </row>
    <row r="26" customFormat="false" ht="15" hidden="false" customHeight="false" outlineLevel="0" collapsed="false">
      <c r="B26" s="4" t="s">
        <v>739</v>
      </c>
      <c r="C26" s="44" t="n">
        <f aca="false">C20-C24</f>
        <v>1137.22727272727</v>
      </c>
      <c r="D26" s="7" t="s">
        <v>179</v>
      </c>
    </row>
    <row r="28" customFormat="false" ht="15" hidden="false" customHeight="false" outlineLevel="0" collapsed="false">
      <c r="B28" s="14" t="s">
        <v>740</v>
      </c>
      <c r="C28" s="14"/>
      <c r="D28" s="14"/>
      <c r="E28" s="14"/>
    </row>
    <row r="29" customFormat="false" ht="15" hidden="false" customHeight="false" outlineLevel="0" collapsed="false">
      <c r="B29" s="32" t="s">
        <v>741</v>
      </c>
      <c r="C29" s="33" t="n">
        <f aca="false">C26*A_P_WPStrom-C25*A_P_Einspeisung</f>
        <v>93.9830454545455</v>
      </c>
    </row>
    <row r="30" customFormat="false" ht="15" hidden="false" customHeight="false" outlineLevel="0" collapsed="false">
      <c r="B30" s="32" t="s">
        <v>742</v>
      </c>
      <c r="C30" s="33" t="n">
        <f aca="false">C10-C29</f>
        <v>2183.01695454545</v>
      </c>
    </row>
    <row r="32" customFormat="false" ht="15" hidden="false" customHeight="false" outlineLevel="0" collapsed="false">
      <c r="B32" s="14" t="s">
        <v>743</v>
      </c>
      <c r="C32" s="14"/>
      <c r="D32" s="14"/>
      <c r="E32" s="14"/>
      <c r="F32" s="14"/>
    </row>
    <row r="33" customFormat="false" ht="23.85" hidden="false" customHeight="false" outlineLevel="0" collapsed="false">
      <c r="B33" s="11" t="s">
        <v>51</v>
      </c>
      <c r="C33" s="11" t="s">
        <v>744</v>
      </c>
      <c r="D33" s="11" t="s">
        <v>745</v>
      </c>
      <c r="E33" s="11" t="s">
        <v>746</v>
      </c>
      <c r="F33" s="11" t="s">
        <v>747</v>
      </c>
    </row>
    <row r="34" customFormat="false" ht="15" hidden="false" customHeight="false" outlineLevel="0" collapsed="false">
      <c r="B34" s="36" t="n">
        <v>1</v>
      </c>
      <c r="C34" s="31" t="n">
        <f aca="false">$C$10*(1+A_Energiepreis)^(B34-1)</f>
        <v>2277</v>
      </c>
      <c r="D34" s="31" t="n">
        <f aca="false">$C$29*(1+A_Energiepreis)^(B34-1)</f>
        <v>93.9830454545455</v>
      </c>
      <c r="E34" s="31" t="n">
        <f aca="false">C34-D34</f>
        <v>2183.01695454545</v>
      </c>
      <c r="F34" s="31" t="n">
        <f aca="false">E34/(1+A_Diskont)^B34</f>
        <v>2099.05476398601</v>
      </c>
    </row>
    <row r="35" customFormat="false" ht="15" hidden="false" customHeight="false" outlineLevel="0" collapsed="false">
      <c r="B35" s="36" t="n">
        <v>2</v>
      </c>
      <c r="C35" s="31" t="n">
        <f aca="false">$C$10*(1+A_Energiepreis)^(B35-1)</f>
        <v>2345.31</v>
      </c>
      <c r="D35" s="31" t="n">
        <f aca="false">$C$29*(1+A_Energiepreis)^(B35-1)</f>
        <v>96.8025368181819</v>
      </c>
      <c r="E35" s="31" t="n">
        <f aca="false">C35-D35</f>
        <v>2248.50746318182</v>
      </c>
      <c r="F35" s="31" t="n">
        <f aca="false">E35/(1+A_Diskont)^B35</f>
        <v>2078.87154510153</v>
      </c>
    </row>
    <row r="36" customFormat="false" ht="15" hidden="false" customHeight="false" outlineLevel="0" collapsed="false">
      <c r="B36" s="36" t="n">
        <v>3</v>
      </c>
      <c r="C36" s="31" t="n">
        <f aca="false">$C$10*(1+A_Energiepreis)^(B36-1)</f>
        <v>2415.6693</v>
      </c>
      <c r="D36" s="31" t="n">
        <f aca="false">$C$29*(1+A_Energiepreis)^(B36-1)</f>
        <v>99.7066129227273</v>
      </c>
      <c r="E36" s="31" t="n">
        <f aca="false">C36-D36</f>
        <v>2315.96268707727</v>
      </c>
      <c r="F36" s="31" t="n">
        <f aca="false">E36/(1+A_Diskont)^B36</f>
        <v>2058.8823956294</v>
      </c>
    </row>
    <row r="37" customFormat="false" ht="15" hidden="false" customHeight="false" outlineLevel="0" collapsed="false">
      <c r="B37" s="36" t="n">
        <v>4</v>
      </c>
      <c r="C37" s="31" t="n">
        <f aca="false">$C$10*(1+A_Energiepreis)^(B37-1)</f>
        <v>2488.139379</v>
      </c>
      <c r="D37" s="31" t="n">
        <f aca="false">$C$29*(1+A_Energiepreis)^(B37-1)</f>
        <v>102.697811310409</v>
      </c>
      <c r="E37" s="31" t="n">
        <f aca="false">C37-D37</f>
        <v>2385.44156768959</v>
      </c>
      <c r="F37" s="31" t="n">
        <f aca="false">E37/(1+A_Diskont)^B37</f>
        <v>2039.08544951758</v>
      </c>
    </row>
    <row r="38" customFormat="false" ht="15" hidden="false" customHeight="false" outlineLevel="0" collapsed="false">
      <c r="B38" s="36" t="n">
        <v>5</v>
      </c>
      <c r="C38" s="31" t="n">
        <f aca="false">$C$10*(1+A_Energiepreis)^(B38-1)</f>
        <v>2562.78356037</v>
      </c>
      <c r="D38" s="31" t="n">
        <f aca="false">$C$29*(1+A_Energiepreis)^(B38-1)</f>
        <v>105.778745649721</v>
      </c>
      <c r="E38" s="31" t="n">
        <f aca="false">C38-D38</f>
        <v>2457.00481472028</v>
      </c>
      <c r="F38" s="31" t="n">
        <f aca="false">E38/(1+A_Diskont)^B38</f>
        <v>2019.47885865684</v>
      </c>
    </row>
    <row r="39" customFormat="false" ht="15" hidden="false" customHeight="false" outlineLevel="0" collapsed="false">
      <c r="B39" s="36" t="n">
        <v>6</v>
      </c>
      <c r="C39" s="31" t="n">
        <f aca="false">$C$10*(1+A_Energiepreis)^(B39-1)</f>
        <v>2639.6670671811</v>
      </c>
      <c r="D39" s="31" t="n">
        <f aca="false">$C$29*(1+A_Energiepreis)^(B39-1)</f>
        <v>108.952108019213</v>
      </c>
      <c r="E39" s="31" t="n">
        <f aca="false">C39-D39</f>
        <v>2530.71495916189</v>
      </c>
      <c r="F39" s="31" t="n">
        <f aca="false">E39/(1+A_Diskont)^B39</f>
        <v>2000.06079270821</v>
      </c>
    </row>
    <row r="40" customFormat="false" ht="15" hidden="false" customHeight="false" outlineLevel="0" collapsed="false">
      <c r="B40" s="36" t="n">
        <v>7</v>
      </c>
      <c r="C40" s="31" t="n">
        <f aca="false">$C$10*(1+A_Energiepreis)^(B40-1)</f>
        <v>2718.85707919653</v>
      </c>
      <c r="D40" s="31" t="n">
        <f aca="false">$C$29*(1+A_Energiepreis)^(B40-1)</f>
        <v>112.220671259789</v>
      </c>
      <c r="E40" s="31" t="n">
        <f aca="false">C40-D40</f>
        <v>2606.63640793674</v>
      </c>
      <c r="F40" s="31" t="n">
        <f aca="false">E40/(1+A_Diskont)^B40</f>
        <v>1980.82943893217</v>
      </c>
    </row>
    <row r="41" customFormat="false" ht="15" hidden="false" customHeight="false" outlineLevel="0" collapsed="false">
      <c r="B41" s="36" t="n">
        <v>8</v>
      </c>
      <c r="C41" s="31" t="n">
        <f aca="false">$C$10*(1+A_Energiepreis)^(B41-1)</f>
        <v>2800.42279157243</v>
      </c>
      <c r="D41" s="31" t="n">
        <f aca="false">$C$29*(1+A_Energiepreis)^(B41-1)</f>
        <v>115.587291397583</v>
      </c>
      <c r="E41" s="31" t="n">
        <f aca="false">C41-D41</f>
        <v>2684.83550017485</v>
      </c>
      <c r="F41" s="31" t="n">
        <f aca="false">E41/(1+A_Diskont)^B41</f>
        <v>1961.78300201936</v>
      </c>
    </row>
    <row r="42" customFormat="false" ht="15" hidden="false" customHeight="false" outlineLevel="0" collapsed="false">
      <c r="B42" s="36" t="n">
        <v>9</v>
      </c>
      <c r="C42" s="31" t="n">
        <f aca="false">$C$10*(1+A_Energiepreis)^(B42-1)</f>
        <v>2884.4354753196</v>
      </c>
      <c r="D42" s="31" t="n">
        <f aca="false">$C$29*(1+A_Energiepreis)^(B42-1)</f>
        <v>119.054910139511</v>
      </c>
      <c r="E42" s="31" t="n">
        <f aca="false">C42-D42</f>
        <v>2765.38056518009</v>
      </c>
      <c r="F42" s="31" t="n">
        <f aca="false">E42/(1+A_Diskont)^B42</f>
        <v>1942.91970392302</v>
      </c>
    </row>
    <row r="43" customFormat="false" ht="15" hidden="false" customHeight="false" outlineLevel="0" collapsed="false">
      <c r="B43" s="36" t="n">
        <v>10</v>
      </c>
      <c r="C43" s="31" t="n">
        <f aca="false">$C$10*(1+A_Energiepreis)^(B43-1)</f>
        <v>2970.96853957919</v>
      </c>
      <c r="D43" s="31" t="n">
        <f aca="false">$C$29*(1+A_Energiepreis)^(B43-1)</f>
        <v>122.626557443696</v>
      </c>
      <c r="E43" s="31" t="n">
        <f aca="false">C43-D43</f>
        <v>2848.34198213549</v>
      </c>
      <c r="F43" s="31" t="n">
        <f aca="false">E43/(1+A_Diskont)^B43</f>
        <v>1924.23778369299</v>
      </c>
    </row>
    <row r="44" customFormat="false" ht="15" hidden="false" customHeight="false" outlineLevel="0" collapsed="false">
      <c r="B44" s="36" t="n">
        <v>11</v>
      </c>
      <c r="C44" s="31" t="n">
        <f aca="false">$C$10*(1+A_Energiepreis)^(B44-1)</f>
        <v>3060.09759576657</v>
      </c>
      <c r="D44" s="31" t="n">
        <f aca="false">$C$29*(1+A_Energiepreis)^(B44-1)</f>
        <v>126.305354167007</v>
      </c>
      <c r="E44" s="31" t="n">
        <f aca="false">C44-D44</f>
        <v>2933.79224159956</v>
      </c>
      <c r="F44" s="31" t="n">
        <f aca="false">E44/(1+A_Diskont)^B44</f>
        <v>1905.73549731133</v>
      </c>
    </row>
    <row r="45" customFormat="false" ht="15" hidden="false" customHeight="false" outlineLevel="0" collapsed="false">
      <c r="B45" s="36" t="n">
        <v>12</v>
      </c>
      <c r="C45" s="31" t="n">
        <f aca="false">$C$10*(1+A_Energiepreis)^(B45-1)</f>
        <v>3151.90052363956</v>
      </c>
      <c r="D45" s="31" t="n">
        <f aca="false">$C$29*(1+A_Energiepreis)^(B45-1)</f>
        <v>130.094514792017</v>
      </c>
      <c r="E45" s="31" t="n">
        <f aca="false">C45-D45</f>
        <v>3021.80600884755</v>
      </c>
      <c r="F45" s="31" t="n">
        <f aca="false">E45/(1+A_Diskont)^B45</f>
        <v>1887.41111752949</v>
      </c>
    </row>
    <row r="46" customFormat="false" ht="15" hidden="false" customHeight="false" outlineLevel="0" collapsed="false">
      <c r="B46" s="36" t="n">
        <v>13</v>
      </c>
      <c r="C46" s="31" t="n">
        <f aca="false">$C$10*(1+A_Energiepreis)^(B46-1)</f>
        <v>3246.45753934875</v>
      </c>
      <c r="D46" s="31" t="n">
        <f aca="false">$C$29*(1+A_Energiepreis)^(B46-1)</f>
        <v>133.997350235778</v>
      </c>
      <c r="E46" s="31" t="n">
        <f aca="false">C46-D46</f>
        <v>3112.46018911297</v>
      </c>
      <c r="F46" s="31" t="n">
        <f aca="false">E46/(1+A_Diskont)^B46</f>
        <v>1869.26293370709</v>
      </c>
    </row>
    <row r="47" customFormat="false" ht="15" hidden="false" customHeight="false" outlineLevel="0" collapsed="false">
      <c r="B47" s="36" t="n">
        <v>14</v>
      </c>
      <c r="C47" s="31" t="n">
        <f aca="false">$C$10*(1+A_Energiepreis)^(B47-1)</f>
        <v>3343.85126552921</v>
      </c>
      <c r="D47" s="31" t="n">
        <f aca="false">$C$29*(1+A_Energiepreis)^(B47-1)</f>
        <v>138.017270742851</v>
      </c>
      <c r="E47" s="31" t="n">
        <f aca="false">C47-D47</f>
        <v>3205.83399478636</v>
      </c>
      <c r="F47" s="31" t="n">
        <f aca="false">E47/(1+A_Diskont)^B47</f>
        <v>1851.28925165222</v>
      </c>
    </row>
    <row r="48" customFormat="false" ht="15" hidden="false" customHeight="false" outlineLevel="0" collapsed="false">
      <c r="B48" s="36" t="n">
        <v>15</v>
      </c>
      <c r="C48" s="31" t="n">
        <f aca="false">$C$10*(1+A_Energiepreis)^(B48-1)</f>
        <v>3444.16680349509</v>
      </c>
      <c r="D48" s="31" t="n">
        <f aca="false">$C$29*(1+A_Energiepreis)^(B48-1)</f>
        <v>142.157788865136</v>
      </c>
      <c r="E48" s="31" t="n">
        <f aca="false">C48-D48</f>
        <v>3302.00901462995</v>
      </c>
      <c r="F48" s="31" t="n">
        <f aca="false">E48/(1+A_Diskont)^B48</f>
        <v>1833.48839346325</v>
      </c>
    </row>
    <row r="49" customFormat="false" ht="15" hidden="false" customHeight="false" outlineLevel="0" collapsed="false">
      <c r="B49" s="36" t="n">
        <v>16</v>
      </c>
      <c r="C49" s="31" t="n">
        <f aca="false">$C$10*(1+A_Energiepreis)^(B49-1)</f>
        <v>3547.49180759994</v>
      </c>
      <c r="D49" s="31" t="n">
        <f aca="false">$C$29*(1+A_Energiepreis)^(B49-1)</f>
        <v>146.422522531091</v>
      </c>
      <c r="E49" s="31" t="n">
        <f aca="false">C49-D49</f>
        <v>3401.06928506885</v>
      </c>
      <c r="F49" s="31" t="n">
        <f aca="false">E49/(1+A_Diskont)^B49</f>
        <v>1815.85869737226</v>
      </c>
    </row>
    <row r="50" customFormat="false" ht="15" hidden="false" customHeight="false" outlineLevel="0" collapsed="false">
      <c r="B50" s="36" t="n">
        <v>17</v>
      </c>
      <c r="C50" s="31" t="n">
        <f aca="false">$C$10*(1+A_Energiepreis)^(B50-1)</f>
        <v>3653.91656182794</v>
      </c>
      <c r="D50" s="31" t="n">
        <f aca="false">$C$29*(1+A_Energiepreis)^(B50-1)</f>
        <v>150.815198207023</v>
      </c>
      <c r="E50" s="31" t="n">
        <f aca="false">C50-D50</f>
        <v>3503.10136362092</v>
      </c>
      <c r="F50" s="31" t="n">
        <f aca="false">E50/(1+A_Diskont)^B50</f>
        <v>1798.39851758983</v>
      </c>
    </row>
    <row r="51" customFormat="false" ht="15" hidden="false" customHeight="false" outlineLevel="0" collapsed="false">
      <c r="B51" s="36" t="n">
        <v>18</v>
      </c>
      <c r="C51" s="31" t="n">
        <f aca="false">$C$10*(1+A_Energiepreis)^(B51-1)</f>
        <v>3763.53405868278</v>
      </c>
      <c r="D51" s="31" t="n">
        <f aca="false">$C$29*(1+A_Energiepreis)^(B51-1)</f>
        <v>155.339654153234</v>
      </c>
      <c r="E51" s="31" t="n">
        <f aca="false">C51-D51</f>
        <v>3608.19440452955</v>
      </c>
      <c r="F51" s="31" t="n">
        <f aca="false">E51/(1+A_Diskont)^B51</f>
        <v>1781.10622415147</v>
      </c>
    </row>
    <row r="52" customFormat="false" ht="15" hidden="false" customHeight="false" outlineLevel="0" collapsed="false">
      <c r="B52" s="36" t="n">
        <v>19</v>
      </c>
      <c r="C52" s="31" t="n">
        <f aca="false">$C$10*(1+A_Energiepreis)^(B52-1)</f>
        <v>3876.44008044326</v>
      </c>
      <c r="D52" s="31" t="n">
        <f aca="false">$C$29*(1+A_Energiepreis)^(B52-1)</f>
        <v>159.999843777831</v>
      </c>
      <c r="E52" s="31" t="n">
        <f aca="false">C52-D52</f>
        <v>3716.44023666543</v>
      </c>
      <c r="F52" s="31" t="n">
        <f aca="false">E52/(1+A_Diskont)^B52</f>
        <v>1763.9802027654</v>
      </c>
    </row>
    <row r="53" customFormat="false" ht="15" hidden="false" customHeight="false" outlineLevel="0" collapsed="false">
      <c r="B53" s="36" t="n">
        <v>20</v>
      </c>
      <c r="C53" s="31" t="n">
        <f aca="false">$C$10*(1+A_Energiepreis)^(B53-1)</f>
        <v>3992.73328285656</v>
      </c>
      <c r="D53" s="31" t="n">
        <f aca="false">$C$29*(1+A_Energiepreis)^(B53-1)</f>
        <v>164.799839091166</v>
      </c>
      <c r="E53" s="31" t="n">
        <f aca="false">C53-D53</f>
        <v>3827.93344376539</v>
      </c>
      <c r="F53" s="31" t="n">
        <f aca="false">E53/(1+A_Diskont)^B53</f>
        <v>1747.01885466188</v>
      </c>
    </row>
    <row r="54" customFormat="false" ht="15" hidden="false" customHeight="false" outlineLevel="0" collapsed="false">
      <c r="B54" s="32" t="s">
        <v>748</v>
      </c>
      <c r="C54" s="33" t="n">
        <f aca="false">SUM(F34:F53)</f>
        <v>38358.7534243713</v>
      </c>
    </row>
    <row r="55" customFormat="false" ht="15" hidden="false" customHeight="false" outlineLevel="0" collapsed="false">
      <c r="B55" s="4" t="s">
        <v>749</v>
      </c>
      <c r="C55" s="31" t="n">
        <f aca="false">SUM(E34:E53)</f>
        <v>58658.48308443</v>
      </c>
    </row>
  </sheetData>
  <mergeCells count="6">
    <mergeCell ref="B3:E3"/>
    <mergeCell ref="B7:E7"/>
    <mergeCell ref="B12:E12"/>
    <mergeCell ref="B22:E22"/>
    <mergeCell ref="B28:E28"/>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8"/>
  </cols>
  <sheetData>
    <row r="1" customFormat="false" ht="17.35" hidden="false" customHeight="false" outlineLevel="0" collapsed="false">
      <c r="B1" s="1" t="s">
        <v>750</v>
      </c>
    </row>
    <row r="3" customFormat="false" ht="15" hidden="false" customHeight="false" outlineLevel="0" collapsed="false">
      <c r="B3" s="14" t="s">
        <v>751</v>
      </c>
      <c r="C3" s="14"/>
      <c r="D3" s="14"/>
      <c r="E3" s="14"/>
    </row>
    <row r="4" customFormat="false" ht="15" hidden="false" customHeight="false" outlineLevel="0" collapsed="false">
      <c r="B4" s="4" t="s">
        <v>752</v>
      </c>
      <c r="C4" s="43" t="n">
        <f aca="false">IF(10_Beispiel_Luebbecke!$C$21="EH 40 EE",A_NB_Mehrkosten_EH40,IF(10_Beispiel_Luebbecke!$C$21="EH 55 EE",A_NB_Mehrkosten_EH55,0))</f>
        <v>150</v>
      </c>
    </row>
    <row r="5" customFormat="false" ht="15" hidden="false" customHeight="false" outlineLevel="0" collapsed="false">
      <c r="B5" s="4" t="s">
        <v>753</v>
      </c>
      <c r="C5" s="31" t="n">
        <f aca="false">10_Beispiel_Luebbecke!$C$9*(A_NB_GEG+C4)*A_Regio</f>
        <v>393300</v>
      </c>
    </row>
    <row r="6" customFormat="false" ht="15" hidden="false" customHeight="false" outlineLevel="0" collapsed="false">
      <c r="B6" s="32" t="s">
        <v>754</v>
      </c>
      <c r="C6" s="33" t="n">
        <f aca="false">C5*(1+A_BNK)+10_Beispiel_Luebbecke!$C$9*A_Aussen+A_Anschluesse</f>
        <v>509421</v>
      </c>
    </row>
    <row r="8" customFormat="false" ht="15" hidden="false" customHeight="false" outlineLevel="0" collapsed="false">
      <c r="B8" s="14" t="s">
        <v>755</v>
      </c>
      <c r="C8" s="14"/>
      <c r="D8" s="14"/>
      <c r="E8" s="14"/>
    </row>
    <row r="9" customFormat="false" ht="15" hidden="false" customHeight="false" outlineLevel="0" collapsed="false">
      <c r="B9" s="32" t="s">
        <v>756</v>
      </c>
      <c r="C9" s="33" t="n">
        <f aca="false">C6*(1-A_Zielrabatt)</f>
        <v>407536.8</v>
      </c>
    </row>
    <row r="11" customFormat="false" ht="15" hidden="false" customHeight="false" outlineLevel="0" collapsed="false">
      <c r="B11" s="14" t="s">
        <v>757</v>
      </c>
      <c r="C11" s="14"/>
      <c r="D11" s="14"/>
      <c r="E11" s="14"/>
    </row>
    <row r="12" customFormat="false" ht="15" hidden="false" customHeight="false" outlineLevel="0" collapsed="false">
      <c r="B12" s="4" t="s">
        <v>758</v>
      </c>
      <c r="C12" s="13" t="n">
        <f aca="false">11_Beispiel_Luebbecke!$C$13-11_Beispiel_Luebbecke!$C$42</f>
        <v>323061.730452508</v>
      </c>
    </row>
    <row r="13" customFormat="false" ht="15" hidden="false" customHeight="false" outlineLevel="0" collapsed="false">
      <c r="B13" s="4" t="s">
        <v>759</v>
      </c>
      <c r="C13" s="31" t="n">
        <f aca="false">C9-C12</f>
        <v>84475.0695474921</v>
      </c>
    </row>
    <row r="14" customFormat="false" ht="15" hidden="false" customHeight="false" outlineLevel="0" collapsed="false">
      <c r="B14" s="4" t="s">
        <v>760</v>
      </c>
      <c r="C14" s="13" t="n">
        <f aca="false">10_Beispiel_Luebbecke!$C$32</f>
        <v>71400</v>
      </c>
    </row>
    <row r="15" customFormat="false" ht="15" hidden="false" customHeight="false" outlineLevel="0" collapsed="false">
      <c r="B15" s="32" t="s">
        <v>761</v>
      </c>
      <c r="C15" s="33" t="n">
        <f aca="false">C13+C14</f>
        <v>155875.069547492</v>
      </c>
    </row>
    <row r="16" customFormat="false" ht="15" hidden="false" customHeight="false" outlineLevel="0" collapsed="false">
      <c r="B16" s="4" t="s">
        <v>762</v>
      </c>
      <c r="C16" s="13" t="n">
        <f aca="false">10_Beispiel_Luebbecke!$C$8</f>
        <v>279000</v>
      </c>
    </row>
    <row r="17" customFormat="false" ht="15" hidden="false" customHeight="false" outlineLevel="0" collapsed="false">
      <c r="B17" s="32" t="s">
        <v>763</v>
      </c>
      <c r="C17" s="33" t="n">
        <f aca="false">C15-C16</f>
        <v>-123124.930452508</v>
      </c>
      <c r="E17" s="7" t="s">
        <v>764</v>
      </c>
    </row>
    <row r="20" customFormat="false" ht="15" hidden="false" customHeight="false" outlineLevel="0" collapsed="false">
      <c r="B20" s="14" t="s">
        <v>765</v>
      </c>
      <c r="C20" s="14"/>
      <c r="D20" s="14"/>
      <c r="E20" s="14"/>
      <c r="F20" s="14"/>
    </row>
    <row r="21" customFormat="false" ht="15" hidden="false" customHeight="false" outlineLevel="0" collapsed="false">
      <c r="B21" s="21" t="s">
        <v>766</v>
      </c>
      <c r="C21" s="45" t="n">
        <v>0.9</v>
      </c>
      <c r="D21" s="45" t="n">
        <v>1</v>
      </c>
      <c r="E21" s="45" t="n">
        <v>1.1</v>
      </c>
    </row>
    <row r="22" customFormat="false" ht="15" hidden="false" customHeight="false" outlineLevel="0" collapsed="false">
      <c r="B22" s="34" t="n">
        <v>0</v>
      </c>
      <c r="C22" s="31" t="n">
        <f aca="false">((10_Beispiel_Luebbecke!$C$9*(A_NB_GEG+C4)*0.9)*(1+A_BNK)+10_Beispiel_Luebbecke!$C$9*A_Aussen+A_Anschluesse)*(1-0)-C12+C14</f>
        <v>211743.169547492</v>
      </c>
      <c r="D22" s="31" t="n">
        <f aca="false">((10_Beispiel_Luebbecke!$C$9*(A_NB_GEG+C4)*1)*(1+A_BNK)+10_Beispiel_Luebbecke!$C$9*A_Aussen+A_Anschluesse)*(1-0)-C12+C14</f>
        <v>257759.269547492</v>
      </c>
      <c r="E22" s="31" t="n">
        <f aca="false">((10_Beispiel_Luebbecke!$C$9*(A_NB_GEG+C4)*1.1)*(1+A_BNK)+10_Beispiel_Luebbecke!$C$9*A_Aussen+A_Anschluesse)*(1-0)-C12+C14</f>
        <v>303775.369547492</v>
      </c>
    </row>
    <row r="23" customFormat="false" ht="15" hidden="false" customHeight="false" outlineLevel="0" collapsed="false">
      <c r="B23" s="34" t="n">
        <v>0.1</v>
      </c>
      <c r="C23" s="31" t="n">
        <f aca="false">((10_Beispiel_Luebbecke!$C$9*(A_NB_GEG+C4)*0.9)*(1+A_BNK)+10_Beispiel_Luebbecke!$C$9*A_Aussen+A_Anschluesse)*(1-0.1)-C12+C14</f>
        <v>165402.679547492</v>
      </c>
      <c r="D23" s="31" t="n">
        <f aca="false">((10_Beispiel_Luebbecke!$C$9*(A_NB_GEG+C4)*1)*(1+A_BNK)+10_Beispiel_Luebbecke!$C$9*A_Aussen+A_Anschluesse)*(1-0.1)-C12+C14</f>
        <v>206817.169547492</v>
      </c>
      <c r="E23" s="31" t="n">
        <f aca="false">((10_Beispiel_Luebbecke!$C$9*(A_NB_GEG+C4)*1.1)*(1+A_BNK)+10_Beispiel_Luebbecke!$C$9*A_Aussen+A_Anschluesse)*(1-0.1)-C12+C14</f>
        <v>248231.659547492</v>
      </c>
    </row>
    <row r="24" customFormat="false" ht="15" hidden="false" customHeight="false" outlineLevel="0" collapsed="false">
      <c r="B24" s="34" t="n">
        <v>0.2</v>
      </c>
      <c r="C24" s="31" t="n">
        <f aca="false">((10_Beispiel_Luebbecke!$C$9*(A_NB_GEG+C4)*0.9)*(1+A_BNK)+10_Beispiel_Luebbecke!$C$9*A_Aussen+A_Anschluesse)*(1-0.2)-C12+C14</f>
        <v>119062.189547492</v>
      </c>
      <c r="D24" s="31" t="n">
        <f aca="false">((10_Beispiel_Luebbecke!$C$9*(A_NB_GEG+C4)*1)*(1+A_BNK)+10_Beispiel_Luebbecke!$C$9*A_Aussen+A_Anschluesse)*(1-0.2)-C12+C14</f>
        <v>155875.069547492</v>
      </c>
      <c r="E24" s="31" t="n">
        <f aca="false">((10_Beispiel_Luebbecke!$C$9*(A_NB_GEG+C4)*1.1)*(1+A_BNK)+10_Beispiel_Luebbecke!$C$9*A_Aussen+A_Anschluesse)*(1-0.2)-C12+C14</f>
        <v>192687.949547492</v>
      </c>
    </row>
    <row r="25" customFormat="false" ht="15" hidden="false" customHeight="false" outlineLevel="0" collapsed="false">
      <c r="B25" s="34" t="n">
        <v>0.3</v>
      </c>
      <c r="C25" s="31" t="n">
        <f aca="false">((10_Beispiel_Luebbecke!$C$9*(A_NB_GEG+C4)*0.9)*(1+A_BNK)+10_Beispiel_Luebbecke!$C$9*A_Aussen+A_Anschluesse)*(1-0.3)-C12+C14</f>
        <v>72721.699547492</v>
      </c>
      <c r="D25" s="31" t="n">
        <f aca="false">((10_Beispiel_Luebbecke!$C$9*(A_NB_GEG+C4)*1)*(1+A_BNK)+10_Beispiel_Luebbecke!$C$9*A_Aussen+A_Anschluesse)*(1-0.3)-C12+C14</f>
        <v>104932.969547492</v>
      </c>
      <c r="E25" s="31" t="n">
        <f aca="false">((10_Beispiel_Luebbecke!$C$9*(A_NB_GEG+C4)*1.1)*(1+A_BNK)+10_Beispiel_Luebbecke!$C$9*A_Aussen+A_Anschluesse)*(1-0.3)-C12+C14</f>
        <v>137144.239547492</v>
      </c>
    </row>
    <row r="27" customFormat="false" ht="15" hidden="false" customHeight="false" outlineLevel="0" collapsed="false">
      <c r="B27" s="7" t="s">
        <v>767</v>
      </c>
    </row>
  </sheetData>
  <mergeCells count="4">
    <mergeCell ref="B3:E3"/>
    <mergeCell ref="B8:E8"/>
    <mergeCell ref="B11:E11"/>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20"/>
    <col collapsed="false" customWidth="true" hidden="false" outlineLevel="0" max="4" min="4" style="0" width="12"/>
  </cols>
  <sheetData>
    <row r="1" customFormat="false" ht="17.35" hidden="false" customHeight="false" outlineLevel="0" collapsed="false">
      <c r="B1" s="1" t="s">
        <v>768</v>
      </c>
    </row>
    <row r="3" customFormat="false" ht="15" hidden="false" customHeight="false" outlineLevel="0" collapsed="false">
      <c r="B3" s="14" t="s">
        <v>769</v>
      </c>
      <c r="C3" s="14"/>
      <c r="D3" s="14"/>
      <c r="E3" s="14"/>
    </row>
    <row r="4" customFormat="false" ht="15" hidden="false" customHeight="false" outlineLevel="0" collapsed="false">
      <c r="B4" s="4" t="s">
        <v>770</v>
      </c>
      <c r="C4" s="46" t="n">
        <f aca="false">14_Beispiel_Luebbecke!$C$9*14_Beispiel_Luebbecke!$C$5/1000</f>
        <v>4576.77</v>
      </c>
      <c r="D4" s="7" t="s">
        <v>771</v>
      </c>
    </row>
    <row r="5" customFormat="false" ht="15" hidden="false" customHeight="false" outlineLevel="0" collapsed="false">
      <c r="B5" s="4" t="s">
        <v>772</v>
      </c>
      <c r="C5" s="44" t="n">
        <f aca="false">14_Beispiel_Luebbecke!$C$26*A_CO2_Strom/1000</f>
        <v>391.206181818182</v>
      </c>
      <c r="D5" s="7" t="s">
        <v>771</v>
      </c>
    </row>
    <row r="6" customFormat="false" ht="15" hidden="false" customHeight="false" outlineLevel="0" collapsed="false">
      <c r="B6" s="4" t="s">
        <v>192</v>
      </c>
      <c r="C6" s="44" t="n">
        <f aca="false">14_Beispiel_Luebbecke!$C$25*A_CO2_PV/1000</f>
        <v>799.471636363636</v>
      </c>
      <c r="D6" s="7" t="s">
        <v>771</v>
      </c>
    </row>
    <row r="7" customFormat="false" ht="15" hidden="false" customHeight="false" outlineLevel="0" collapsed="false">
      <c r="B7" s="32" t="s">
        <v>773</v>
      </c>
      <c r="C7" s="47" t="n">
        <f aca="false">C5-C6</f>
        <v>-408.265454545455</v>
      </c>
    </row>
    <row r="8" customFormat="false" ht="15" hidden="false" customHeight="false" outlineLevel="0" collapsed="false">
      <c r="B8" s="32" t="s">
        <v>774</v>
      </c>
      <c r="C8" s="47" t="n">
        <f aca="false">C4-C7</f>
        <v>4985.03545454546</v>
      </c>
    </row>
    <row r="10" customFormat="false" ht="15" hidden="false" customHeight="false" outlineLevel="0" collapsed="false">
      <c r="B10" s="14" t="s">
        <v>775</v>
      </c>
      <c r="C10" s="14"/>
      <c r="D10" s="14"/>
      <c r="E10" s="14"/>
    </row>
    <row r="11" customFormat="false" ht="15" hidden="false" customHeight="false" outlineLevel="0" collapsed="false">
      <c r="B11" s="4" t="s">
        <v>776</v>
      </c>
      <c r="C11" s="34" t="n">
        <f aca="false">14_Beispiel_Luebbecke!$C$23/14_Beispiel_Luebbecke!$C$20</f>
        <v>1.18091740576497</v>
      </c>
    </row>
    <row r="12" customFormat="false" ht="15" hidden="false" customHeight="false" outlineLevel="0" collapsed="false">
      <c r="B12" s="4" t="s">
        <v>777</v>
      </c>
      <c r="C12" s="4" t="str">
        <f aca="false">IF(OR(10_Beispiel_Luebbecke!$S$63="JA",10_Beispiel_Luebbecke!$S$64="JA"),"Nein - Wärmepumpe aktiv","Ja - keine Wärmepumpe in Kalkulation")</f>
        <v>Nein - Wärmepumpe aktiv</v>
      </c>
    </row>
    <row r="13" customFormat="false" ht="15" hidden="false" customHeight="false" outlineLevel="0" collapsed="false">
      <c r="B13" s="32" t="s">
        <v>778</v>
      </c>
      <c r="C13" s="5" t="str">
        <f aca="false">IF(NOT(OR(10_Beispiel_Luebbecke!$S$63="JA",10_Beispiel_Luebbecke!$S$64="JA")),"nicht erreichbar (fossile Heizung im Zielzustand)",IF(C11&gt;=1,"gruen: bilanziell klimaneutral",IF(C11&gt;=0.7,"gelb: teilweise gedeckt","rot: geringe Deckung")))</f>
        <v>gruen: bilanziell klimaneutral</v>
      </c>
    </row>
  </sheetData>
  <mergeCells count="2">
    <mergeCell ref="B3:E3"/>
    <mergeCell ref="B10:E10"/>
  </mergeCells>
  <conditionalFormatting sqref="C13">
    <cfRule type="expression" priority="2" aboveAverage="0" equalAverage="0" bottom="0" percent="0" rank="0" text="" dxfId="9">
      <formula>LEFT(C13,5)="gruen"</formula>
    </cfRule>
    <cfRule type="expression" priority="3" aboveAverage="0" equalAverage="0" bottom="0" percent="0" rank="0" text="" dxfId="11">
      <formula>LEFT(C13,4)="gelb"</formula>
    </cfRule>
    <cfRule type="expression" priority="4" aboveAverage="0" equalAverage="0" bottom="0" percent="0" rank="0" text="" dxfId="10">
      <formula>OR(LEFT(C13,3)="rot",LEFT(C13,5)="nicht")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Y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30"/>
    <col collapsed="false" customWidth="true" hidden="false" outlineLevel="0" max="4" min="4" style="0" width="12"/>
    <col collapsed="false" customWidth="true" hidden="false" outlineLevel="0" max="5" min="5" style="0" width="30"/>
    <col collapsed="false" customWidth="true" hidden="false" outlineLevel="0" max="10" min="6" style="0" width="12"/>
    <col collapsed="false" customWidth="true" hidden="false" outlineLevel="0" max="11" min="11" style="0" width="10"/>
    <col collapsed="false" customWidth="true" hidden="false" outlineLevel="0" max="12" min="12" style="0" width="14"/>
    <col collapsed="false" customWidth="true" hidden="false" outlineLevel="0" max="15" min="13" style="0" width="10"/>
    <col collapsed="false" customWidth="true" hidden="false" outlineLevel="0" max="18" min="16" style="0" width="12"/>
    <col collapsed="false" customWidth="true" hidden="false" outlineLevel="0" max="19" min="19" style="0" width="10"/>
    <col collapsed="false" customWidth="true" hidden="false" outlineLevel="0" max="20" min="20" style="0" width="12"/>
    <col collapsed="false" customWidth="true" hidden="false" outlineLevel="0" max="21" min="21" style="0" width="14"/>
    <col collapsed="false" customWidth="true" hidden="false" outlineLevel="0" max="23" min="22" style="0" width="26"/>
    <col collapsed="false" customWidth="true" hidden="true" outlineLevel="0" max="25" min="24" style="0" width="13"/>
  </cols>
  <sheetData>
    <row r="1" customFormat="false" ht="17.35" hidden="false" customHeight="false" outlineLevel="0" collapsed="false">
      <c r="B1" s="1" t="s">
        <v>525</v>
      </c>
    </row>
    <row r="3" customFormat="false" ht="15" hidden="false" customHeight="false" outlineLevel="0" collapsed="false">
      <c r="B3" s="14" t="s">
        <v>526</v>
      </c>
      <c r="C3" s="14"/>
      <c r="D3" s="14"/>
      <c r="E3" s="14"/>
    </row>
    <row r="4" customFormat="false" ht="15" hidden="false" customHeight="false" outlineLevel="0" collapsed="false">
      <c r="B4" s="4" t="s">
        <v>31</v>
      </c>
      <c r="C4" s="15" t="s">
        <v>784</v>
      </c>
    </row>
    <row r="5" customFormat="false" ht="15" hidden="false" customHeight="false" outlineLevel="0" collapsed="false">
      <c r="B5" s="4" t="s">
        <v>32</v>
      </c>
      <c r="C5" s="15" t="n">
        <v>32369</v>
      </c>
    </row>
    <row r="6" customFormat="false" ht="15" hidden="false" customHeight="false" outlineLevel="0" collapsed="false">
      <c r="B6" s="4" t="s">
        <v>33</v>
      </c>
      <c r="C6" s="15" t="s">
        <v>785</v>
      </c>
    </row>
    <row r="7" customFormat="false" ht="15" hidden="false" customHeight="false" outlineLevel="0" collapsed="false">
      <c r="B7" s="4" t="s">
        <v>34</v>
      </c>
      <c r="C7" s="15" t="n">
        <v>1968</v>
      </c>
    </row>
    <row r="8" customFormat="false" ht="15" hidden="false" customHeight="false" outlineLevel="0" collapsed="false">
      <c r="B8" s="4" t="s">
        <v>529</v>
      </c>
      <c r="C8" s="24" t="n">
        <v>195000</v>
      </c>
      <c r="D8" s="7" t="s">
        <v>57</v>
      </c>
    </row>
    <row r="9" customFormat="false" ht="15" hidden="false" customHeight="false" outlineLevel="0" collapsed="false">
      <c r="B9" s="4" t="s">
        <v>530</v>
      </c>
      <c r="C9" s="15" t="n">
        <v>122</v>
      </c>
      <c r="D9" s="7" t="s">
        <v>531</v>
      </c>
    </row>
    <row r="10" customFormat="false" ht="15" hidden="false" customHeight="false" outlineLevel="0" collapsed="false">
      <c r="B10" s="4" t="s">
        <v>532</v>
      </c>
      <c r="C10" s="15" t="n">
        <v>590</v>
      </c>
      <c r="D10" s="7" t="s">
        <v>531</v>
      </c>
    </row>
    <row r="11" customFormat="false" ht="15" hidden="false" customHeight="false" outlineLevel="0" collapsed="false">
      <c r="B11" s="4" t="s">
        <v>533</v>
      </c>
      <c r="C11" s="17" t="n">
        <v>85</v>
      </c>
      <c r="D11" s="7" t="s">
        <v>246</v>
      </c>
      <c r="E11" s="7" t="s">
        <v>534</v>
      </c>
    </row>
    <row r="12" customFormat="false" ht="15" hidden="false" customHeight="false" outlineLevel="0" collapsed="false">
      <c r="B12" s="4" t="s">
        <v>535</v>
      </c>
      <c r="C12" s="15" t="n">
        <v>1</v>
      </c>
      <c r="D12" s="7" t="s">
        <v>94</v>
      </c>
      <c r="E12" s="7" t="s">
        <v>536</v>
      </c>
    </row>
    <row r="13" customFormat="false" ht="15" hidden="false" customHeight="false" outlineLevel="0" collapsed="false">
      <c r="B13" s="4" t="s">
        <v>537</v>
      </c>
      <c r="C13" s="15" t="n">
        <v>1</v>
      </c>
    </row>
    <row r="14" customFormat="false" ht="15" hidden="false" customHeight="false" outlineLevel="0" collapsed="false">
      <c r="B14" s="4" t="s">
        <v>538</v>
      </c>
      <c r="C14" s="15" t="s">
        <v>786</v>
      </c>
    </row>
    <row r="15" customFormat="false" ht="15" hidden="false" customHeight="false" outlineLevel="0" collapsed="false">
      <c r="B15" s="4" t="s">
        <v>540</v>
      </c>
      <c r="C15" s="15" t="s">
        <v>787</v>
      </c>
    </row>
    <row r="16" customFormat="false" ht="15" hidden="false" customHeight="false" outlineLevel="0" collapsed="false">
      <c r="B16" s="4" t="s">
        <v>542</v>
      </c>
      <c r="C16" s="15" t="s">
        <v>60</v>
      </c>
    </row>
    <row r="17" customFormat="false" ht="15" hidden="false" customHeight="false" outlineLevel="0" collapsed="false">
      <c r="B17" s="4" t="s">
        <v>543</v>
      </c>
      <c r="C17" s="15" t="n">
        <v>210</v>
      </c>
      <c r="D17" s="7" t="s">
        <v>517</v>
      </c>
    </row>
    <row r="18" customFormat="false" ht="15" hidden="false" customHeight="false" outlineLevel="0" collapsed="false">
      <c r="B18" s="4" t="s">
        <v>544</v>
      </c>
      <c r="C18" s="15" t="s">
        <v>788</v>
      </c>
    </row>
    <row r="19" customFormat="false" ht="15" hidden="false" customHeight="false" outlineLevel="0" collapsed="false">
      <c r="B19" s="4" t="s">
        <v>546</v>
      </c>
      <c r="C19" s="15" t="n">
        <v>0</v>
      </c>
      <c r="D19" s="7" t="s">
        <v>547</v>
      </c>
    </row>
    <row r="20" customFormat="false" ht="15" hidden="false" customHeight="false" outlineLevel="0" collapsed="false">
      <c r="B20" s="4" t="s">
        <v>548</v>
      </c>
      <c r="C20" s="15" t="s">
        <v>239</v>
      </c>
    </row>
    <row r="21" customFormat="false" ht="15" hidden="false" customHeight="false" outlineLevel="0" collapsed="false">
      <c r="B21" s="4" t="s">
        <v>37</v>
      </c>
      <c r="C21" s="15" t="s">
        <v>520</v>
      </c>
    </row>
    <row r="22" customFormat="false" ht="15" hidden="false" customHeight="false" outlineLevel="0" collapsed="false">
      <c r="B22" s="4" t="s">
        <v>549</v>
      </c>
      <c r="C22" s="15" t="s">
        <v>60</v>
      </c>
      <c r="E22" s="7" t="s">
        <v>550</v>
      </c>
    </row>
    <row r="23" customFormat="false" ht="15" hidden="false" customHeight="false" outlineLevel="0" collapsed="false">
      <c r="B23" s="4" t="s">
        <v>551</v>
      </c>
      <c r="C23" s="15" t="s">
        <v>552</v>
      </c>
      <c r="E23" s="7" t="s">
        <v>553</v>
      </c>
    </row>
    <row r="24" customFormat="false" ht="15" hidden="false" customHeight="false" outlineLevel="0" collapsed="false">
      <c r="B24" s="4" t="s">
        <v>554</v>
      </c>
      <c r="C24" s="15" t="s">
        <v>239</v>
      </c>
    </row>
    <row r="25" customFormat="false" ht="15" hidden="false" customHeight="false" outlineLevel="0" collapsed="false">
      <c r="B25" s="4" t="s">
        <v>555</v>
      </c>
      <c r="C25" s="15" t="n">
        <v>1</v>
      </c>
      <c r="D25" s="7" t="s">
        <v>547</v>
      </c>
    </row>
    <row r="26" customFormat="false" ht="15" hidden="false" customHeight="false" outlineLevel="0" collapsed="false">
      <c r="B26" s="4" t="s">
        <v>556</v>
      </c>
      <c r="C26" s="15" t="n">
        <v>0</v>
      </c>
      <c r="D26" s="7" t="s">
        <v>69</v>
      </c>
    </row>
    <row r="27" customFormat="false" ht="15" hidden="false" customHeight="false" outlineLevel="0" collapsed="false">
      <c r="B27" s="4" t="s">
        <v>557</v>
      </c>
      <c r="C27" s="15" t="n">
        <v>6</v>
      </c>
      <c r="D27" s="7" t="s">
        <v>127</v>
      </c>
    </row>
    <row r="28" customFormat="false" ht="15" hidden="false" customHeight="false" outlineLevel="0" collapsed="false">
      <c r="B28" s="4" t="s">
        <v>558</v>
      </c>
      <c r="C28" s="15" t="s">
        <v>60</v>
      </c>
    </row>
    <row r="29" customFormat="false" ht="15" hidden="false" customHeight="false" outlineLevel="0" collapsed="false">
      <c r="B29" s="4" t="s">
        <v>559</v>
      </c>
      <c r="C29" s="24" t="n">
        <v>900</v>
      </c>
      <c r="D29" s="7" t="s">
        <v>560</v>
      </c>
    </row>
    <row r="30" customFormat="false" ht="15" hidden="false" customHeight="false" outlineLevel="0" collapsed="false">
      <c r="B30" s="4" t="s">
        <v>561</v>
      </c>
      <c r="C30" s="15" t="n">
        <v>0</v>
      </c>
      <c r="D30" s="7" t="s">
        <v>562</v>
      </c>
    </row>
    <row r="31" customFormat="false" ht="15" hidden="false" customHeight="false" outlineLevel="0" collapsed="false">
      <c r="B31" s="4" t="s">
        <v>563</v>
      </c>
      <c r="C31" s="15" t="s">
        <v>564</v>
      </c>
    </row>
    <row r="32" customFormat="false" ht="15" hidden="false" customHeight="false" outlineLevel="0" collapsed="false">
      <c r="B32" s="4" t="s">
        <v>565</v>
      </c>
      <c r="C32" s="25" t="n">
        <f aca="false">Obj_Grundstuecksflaeche*Obj_Bodenrichtwert*Obj_Anpassungsfaktor</f>
        <v>50150</v>
      </c>
      <c r="D32" s="7" t="s">
        <v>57</v>
      </c>
    </row>
    <row r="34" customFormat="false" ht="15" hidden="false" customHeight="false" outlineLevel="0" collapsed="false">
      <c r="B34" s="14" t="s">
        <v>566</v>
      </c>
      <c r="C34" s="14"/>
      <c r="D34" s="14"/>
      <c r="E34" s="14"/>
    </row>
    <row r="35" customFormat="false" ht="15" hidden="false" customHeight="false" outlineLevel="0" collapsed="false">
      <c r="B35" s="4" t="s">
        <v>567</v>
      </c>
      <c r="C35" s="26" t="n">
        <f aca="false">Obj_Wohnflaeche/Obj_Geschosse</f>
        <v>122</v>
      </c>
      <c r="D35" s="7" t="s">
        <v>531</v>
      </c>
    </row>
    <row r="36" customFormat="false" ht="15" hidden="false" customHeight="false" outlineLevel="0" collapsed="false">
      <c r="B36" s="4" t="s">
        <v>568</v>
      </c>
      <c r="C36" s="26" t="n">
        <f aca="false">A_F_Umfang*SQRT(Obj_Grundflaeche)</f>
        <v>45.2859801704678</v>
      </c>
      <c r="D36" s="7" t="s">
        <v>569</v>
      </c>
    </row>
    <row r="37" customFormat="false" ht="15" hidden="false" customHeight="false" outlineLevel="0" collapsed="false">
      <c r="B37" s="4" t="s">
        <v>570</v>
      </c>
      <c r="C37" s="26" t="n">
        <f aca="false">Obj_Umfang*Obj_Geschosse*A_F_Geschoss</f>
        <v>131.329342494357</v>
      </c>
      <c r="D37" s="7" t="s">
        <v>531</v>
      </c>
    </row>
    <row r="38" customFormat="false" ht="15" hidden="false" customHeight="false" outlineLevel="0" collapsed="false">
      <c r="B38" s="4" t="s">
        <v>571</v>
      </c>
      <c r="C38" s="26" t="n">
        <f aca="false">Obj_Fassadenflaeche*A_F_Fenster</f>
        <v>19.6994013741535</v>
      </c>
      <c r="D38" s="7" t="s">
        <v>531</v>
      </c>
    </row>
    <row r="39" customFormat="false" ht="15" hidden="false" customHeight="false" outlineLevel="0" collapsed="false">
      <c r="B39" s="4" t="s">
        <v>572</v>
      </c>
      <c r="C39" s="26" t="n">
        <f aca="false">Obj_Fensterflaeche/A_F_Fenstergr</f>
        <v>11.5878831612668</v>
      </c>
      <c r="D39" s="7" t="s">
        <v>547</v>
      </c>
    </row>
    <row r="40" customFormat="false" ht="15" hidden="false" customHeight="false" outlineLevel="0" collapsed="false">
      <c r="B40" s="4" t="s">
        <v>573</v>
      </c>
      <c r="C40" s="26" t="n">
        <f aca="false">IF(Obj_Dachform="Flachdach",Obj_Grundflaeche*A_F_Dach_flach,Obj_Grundflaeche*A_F_Dach)</f>
        <v>158.6</v>
      </c>
      <c r="D40" s="7" t="s">
        <v>531</v>
      </c>
    </row>
    <row r="41" customFormat="false" ht="15" hidden="false" customHeight="false" outlineLevel="0" collapsed="false">
      <c r="B41" s="4" t="s">
        <v>574</v>
      </c>
      <c r="C41" s="26" t="n">
        <f aca="false">ROUND(Obj_Wohnflaeche*A_F_HK,0)</f>
        <v>8</v>
      </c>
      <c r="D41" s="7" t="s">
        <v>547</v>
      </c>
    </row>
    <row r="42" customFormat="false" ht="15" hidden="false" customHeight="false" outlineLevel="0" collapsed="false">
      <c r="B42" s="4" t="s">
        <v>575</v>
      </c>
      <c r="C42" s="26" t="n">
        <f aca="false">ROUND(Obj_Wohnflaeche*A_F_Tueren,0)</f>
        <v>6</v>
      </c>
      <c r="D42" s="7" t="s">
        <v>547</v>
      </c>
    </row>
    <row r="43" customFormat="false" ht="15" hidden="false" customHeight="false" outlineLevel="0" collapsed="false">
      <c r="B43" s="4" t="s">
        <v>576</v>
      </c>
      <c r="C43" s="26" t="n">
        <f aca="false">ROUND(Obj_Wohnflaeche*A_F_Raeume,0)</f>
        <v>7</v>
      </c>
      <c r="D43" s="7" t="s">
        <v>547</v>
      </c>
    </row>
    <row r="44" customFormat="false" ht="15" hidden="false" customHeight="false" outlineLevel="0" collapsed="false">
      <c r="B44" s="4" t="s">
        <v>577</v>
      </c>
      <c r="C44" s="26" t="n">
        <f aca="false">Obj_Dachflaeche*A_PV_Anteil</f>
        <v>79.3</v>
      </c>
      <c r="D44" s="7" t="s">
        <v>531</v>
      </c>
    </row>
    <row r="45" customFormat="false" ht="15" hidden="false" customHeight="false" outlineLevel="0" collapsed="false">
      <c r="B45" s="4" t="s">
        <v>578</v>
      </c>
      <c r="C45" s="26" t="n">
        <f aca="false">IF(Obj_PV_kWp_Override&gt;0,Obj_PV_kWp_Override,Obj_PV_DachflaecheNutzbar/A_PV_Flaeche)</f>
        <v>14.4181818181818</v>
      </c>
      <c r="D45" s="7" t="s">
        <v>562</v>
      </c>
    </row>
    <row r="46" customFormat="false" ht="15" hidden="false" customHeight="false" outlineLevel="0" collapsed="false">
      <c r="B46" s="4" t="s">
        <v>579</v>
      </c>
      <c r="C46" s="26" t="n">
        <f aca="false">Obj_PV_kWp*A_Speicher_kWp</f>
        <v>14.4181818181818</v>
      </c>
      <c r="D46" s="7" t="s">
        <v>580</v>
      </c>
    </row>
    <row r="47" customFormat="false" ht="15" hidden="false" customHeight="false" outlineLevel="0" collapsed="false">
      <c r="B47" s="4" t="s">
        <v>581</v>
      </c>
      <c r="C47" s="26" t="n">
        <f aca="false">IF(Obj_PersonenOverride&gt;0,Obj_PersonenOverride,A_Personen)</f>
        <v>3</v>
      </c>
      <c r="D47" s="7" t="s">
        <v>69</v>
      </c>
    </row>
    <row r="49" customFormat="false" ht="15" hidden="false" customHeight="false" outlineLevel="0" collapsed="false">
      <c r="B49" s="14" t="s">
        <v>582</v>
      </c>
      <c r="C49" s="14"/>
      <c r="D49" s="14"/>
      <c r="E49" s="14"/>
      <c r="F49" s="14"/>
      <c r="G49" s="14"/>
      <c r="H49" s="14"/>
      <c r="I49" s="14"/>
      <c r="J49" s="14"/>
      <c r="K49" s="14"/>
      <c r="L49" s="14"/>
      <c r="M49" s="14"/>
      <c r="N49" s="14"/>
      <c r="O49" s="14"/>
      <c r="P49" s="14"/>
      <c r="Q49" s="14"/>
      <c r="R49" s="14"/>
      <c r="S49" s="14"/>
      <c r="T49" s="14"/>
      <c r="U49" s="14"/>
    </row>
    <row r="50" customFormat="false" ht="45" hidden="false" customHeight="true" outlineLevel="0" collapsed="false">
      <c r="B50" s="11" t="s">
        <v>223</v>
      </c>
      <c r="C50" s="11" t="s">
        <v>224</v>
      </c>
      <c r="D50" s="11" t="s">
        <v>225</v>
      </c>
      <c r="E50" s="11" t="s">
        <v>47</v>
      </c>
      <c r="F50" s="11" t="s">
        <v>583</v>
      </c>
      <c r="G50" s="11" t="s">
        <v>584</v>
      </c>
      <c r="H50" s="11" t="s">
        <v>585</v>
      </c>
      <c r="I50" s="11" t="s">
        <v>586</v>
      </c>
      <c r="J50" s="11" t="s">
        <v>587</v>
      </c>
      <c r="K50" s="11" t="s">
        <v>588</v>
      </c>
      <c r="L50" s="11" t="s">
        <v>589</v>
      </c>
      <c r="M50" s="11" t="s">
        <v>590</v>
      </c>
      <c r="N50" s="11" t="s">
        <v>591</v>
      </c>
      <c r="O50" s="11" t="s">
        <v>592</v>
      </c>
      <c r="P50" s="11" t="s">
        <v>593</v>
      </c>
      <c r="Q50" s="11" t="s">
        <v>594</v>
      </c>
      <c r="R50" s="11" t="s">
        <v>595</v>
      </c>
      <c r="S50" s="11" t="s">
        <v>596</v>
      </c>
      <c r="T50" s="11" t="s">
        <v>597</v>
      </c>
      <c r="U50" s="11" t="s">
        <v>598</v>
      </c>
      <c r="V50" s="11" t="s">
        <v>599</v>
      </c>
      <c r="W50" s="11" t="s">
        <v>600</v>
      </c>
    </row>
    <row r="51" customFormat="false" ht="91" hidden="false" customHeight="false" outlineLevel="0" collapsed="false">
      <c r="B51" s="18" t="s">
        <v>234</v>
      </c>
      <c r="C51" s="26" t="str">
        <f aca="false">INDEX(02_Massnahmenkatalog!$C:$C,MATCH($B51,02_Massnahmenkatalog!$B:$B,0))</f>
        <v>Hülle</v>
      </c>
      <c r="D51" s="27" t="str">
        <f aca="false">INDEX(02_Massnahmenkatalog!$D:$D,MATCH($B51,02_Massnahmenkatalog!$B:$B,0))</f>
        <v>Steildach komplett neu (Abriss+Aufsparrendämmung U≤0,14+Eindeckung+Klempner)</v>
      </c>
      <c r="E51" s="26" t="str">
        <f aca="false">INDEX(02_Massnahmenkatalog!$E:$E,MATCH($B51,02_Massnahmenkatalog!$B:$B,0))</f>
        <v>€/m² Dachfläche</v>
      </c>
      <c r="F51" s="18" t="n">
        <f aca="false">IF(Obj_Dachform="Satteldach",Obj_Dachflaeche,0)</f>
        <v>0</v>
      </c>
      <c r="G51" s="15"/>
      <c r="H51" s="18" t="n">
        <f aca="false">IF($G51="",$F51,$G51)</f>
        <v>0</v>
      </c>
      <c r="I51" s="28" t="n">
        <f aca="false">INDEX(02_Massnahmenkatalog!$F:$F,MATCH($B51,02_Massnahmenkatalog!$B:$B,0))</f>
        <v>520</v>
      </c>
      <c r="J51" s="20" t="n">
        <f aca="false">$H51*$I51</f>
        <v>0</v>
      </c>
      <c r="K51" s="26" t="str">
        <f aca="false">INDEX(02_Massnahmenkatalog!$H:$H,MATCH($B51,02_Massnahmenkatalog!$B:$B,0))</f>
        <v>Ja</v>
      </c>
      <c r="L51" s="15"/>
      <c r="M51" s="15" t="n">
        <v>3</v>
      </c>
      <c r="N51" s="26" t="n">
        <f aca="false">INDEX(02_Massnahmenkatalog!$G:$G,MATCH($B51,02_Massnahmenkatalog!$B:$B,0))</f>
        <v>55</v>
      </c>
      <c r="O51" s="29" t="n">
        <f aca="false">INDEX(04_Nutzungsdauern!$C:$C,MATCH($M51,04_Nutzungsdauern!$B:$B,0))</f>
        <v>0.7</v>
      </c>
      <c r="P51" s="18" t="n">
        <f aca="false">$N51*$O51-(A_Jahr-IF($L51="",Obj_Baujahr,$L51))</f>
        <v>-19.5</v>
      </c>
      <c r="Q51" s="18" t="n">
        <f aca="false">A_Jahr+MAX(0,$P51)</f>
        <v>2026</v>
      </c>
      <c r="R51" s="15" t="s">
        <v>601</v>
      </c>
      <c r="S51" s="18" t="str">
        <f aca="false">IF($R51="Automatik",IF($Q51&lt;=A_Jahr+A_Horizont,"JA","NEIN"),IF(OR($R51="Sofort",$R51="In Horizont"),"JA","NEIN"))</f>
        <v>JA</v>
      </c>
      <c r="T51" s="16" t="n">
        <v>0</v>
      </c>
      <c r="U51" s="20" t="n">
        <f aca="false">IF(AND($K51="Ja",$S51="JA"),$J51*(1-$T51),0)</f>
        <v>0</v>
      </c>
      <c r="V51" s="30" t="str">
        <f aca="false">IF(AND($S51="NEIN",OR(AND(Obj_Zielstandard="EH 55 EE",$X51="Ja"),AND(Obj_Zielstandard="EH 40 EE",$Y51="Ja"))),"Pflicht bei Zielstandard, aber nicht aufgenommen","")</f>
        <v/>
      </c>
      <c r="W51" s="15"/>
      <c r="X51" s="26" t="str">
        <f aca="false">INDEX(02_Massnahmenkatalog!$J:$J,MATCH($B51,02_Massnahmenkatalog!$B:$B,0))</f>
        <v>Ja</v>
      </c>
      <c r="Y51" s="26" t="str">
        <f aca="false">INDEX(02_Massnahmenkatalog!$K:$K,MATCH($B51,02_Massnahmenkatalog!$B:$B,0))</f>
        <v>Ja</v>
      </c>
    </row>
    <row r="52" customFormat="false" ht="68.65" hidden="false" customHeight="false" outlineLevel="0" collapsed="false">
      <c r="B52" s="18" t="s">
        <v>241</v>
      </c>
      <c r="C52" s="26" t="str">
        <f aca="false">INDEX(02_Massnahmenkatalog!$C:$C,MATCH($B52,02_Massnahmenkatalog!$B:$B,0))</f>
        <v>Hülle</v>
      </c>
      <c r="D52" s="27" t="str">
        <f aca="false">INDEX(02_Massnahmenkatalog!$D:$D,MATCH($B52,02_Massnahmenkatalog!$B:$B,0))</f>
        <v>Flachdachsanierung (PVC/FPO inkl. Gefälledämmung, Abriss)</v>
      </c>
      <c r="E52" s="26" t="str">
        <f aca="false">INDEX(02_Massnahmenkatalog!$E:$E,MATCH($B52,02_Massnahmenkatalog!$B:$B,0))</f>
        <v>€/m² Dachfläche</v>
      </c>
      <c r="F52" s="18" t="n">
        <f aca="false">IF(Obj_Dachform&lt;&gt;"Satteldach",Obj_Dachflaeche,0)</f>
        <v>158.6</v>
      </c>
      <c r="G52" s="15"/>
      <c r="H52" s="18" t="n">
        <f aca="false">IF($G52="",$F52,$G52)</f>
        <v>158.6</v>
      </c>
      <c r="I52" s="28" t="n">
        <f aca="false">INDEX(02_Massnahmenkatalog!$F:$F,MATCH($B52,02_Massnahmenkatalog!$B:$B,0))</f>
        <v>250</v>
      </c>
      <c r="J52" s="20" t="n">
        <f aca="false">$H52*$I52</f>
        <v>39650</v>
      </c>
      <c r="K52" s="26" t="str">
        <f aca="false">INDEX(02_Massnahmenkatalog!$H:$H,MATCH($B52,02_Massnahmenkatalog!$B:$B,0))</f>
        <v>Ja</v>
      </c>
      <c r="L52" s="15"/>
      <c r="M52" s="15" t="n">
        <v>3</v>
      </c>
      <c r="N52" s="26" t="n">
        <f aca="false">INDEX(02_Massnahmenkatalog!$G:$G,MATCH($B52,02_Massnahmenkatalog!$B:$B,0))</f>
        <v>20</v>
      </c>
      <c r="O52" s="29" t="n">
        <f aca="false">INDEX(04_Nutzungsdauern!$C:$C,MATCH($M52,04_Nutzungsdauern!$B:$B,0))</f>
        <v>0.7</v>
      </c>
      <c r="P52" s="18" t="n">
        <f aca="false">$N52*$O52-(A_Jahr-IF($L52="",Obj_Baujahr,$L52))</f>
        <v>-44</v>
      </c>
      <c r="Q52" s="18" t="n">
        <f aca="false">A_Jahr+MAX(0,$P52)</f>
        <v>2026</v>
      </c>
      <c r="R52" s="15" t="s">
        <v>601</v>
      </c>
      <c r="S52" s="18" t="str">
        <f aca="false">IF($R52="Automatik",IF($Q52&lt;=A_Jahr+A_Horizont,"JA","NEIN"),IF(OR($R52="Sofort",$R52="In Horizont"),"JA","NEIN"))</f>
        <v>JA</v>
      </c>
      <c r="T52" s="16" t="n">
        <v>0</v>
      </c>
      <c r="U52" s="20" t="n">
        <f aca="false">IF(AND($K52="Ja",$S52="JA"),$J52*(1-$T52),0)</f>
        <v>39650</v>
      </c>
      <c r="V52" s="30" t="str">
        <f aca="false">IF(AND($S52="NEIN",OR(AND(Obj_Zielstandard="EH 55 EE",$X52="Ja"),AND(Obj_Zielstandard="EH 40 EE",$Y52="Ja"))),"Pflicht bei Zielstandard, aber nicht aufgenommen","")</f>
        <v/>
      </c>
      <c r="W52" s="15"/>
      <c r="X52" s="26" t="str">
        <f aca="false">INDEX(02_Massnahmenkatalog!$J:$J,MATCH($B52,02_Massnahmenkatalog!$B:$B,0))</f>
        <v>Ja</v>
      </c>
      <c r="Y52" s="26" t="str">
        <f aca="false">INDEX(02_Massnahmenkatalog!$K:$K,MATCH($B52,02_Massnahmenkatalog!$B:$B,0))</f>
        <v>Ja</v>
      </c>
    </row>
    <row r="53" customFormat="false" ht="68.65" hidden="false" customHeight="false" outlineLevel="0" collapsed="false">
      <c r="B53" s="18" t="s">
        <v>244</v>
      </c>
      <c r="C53" s="26" t="str">
        <f aca="false">INDEX(02_Massnahmenkatalog!$C:$C,MATCH($B53,02_Massnahmenkatalog!$B:$B,0))</f>
        <v>Hülle</v>
      </c>
      <c r="D53" s="27" t="str">
        <f aca="false">INDEX(02_Massnahmenkatalog!$D:$D,MATCH($B53,02_Massnahmenkatalog!$B:$B,0))</f>
        <v>Dachbodendämmung oberste Geschossdecke (falls kein Dachausbau)</v>
      </c>
      <c r="E53" s="26" t="str">
        <f aca="false">INDEX(02_Massnahmenkatalog!$E:$E,MATCH($B53,02_Massnahmenkatalog!$B:$B,0))</f>
        <v>€/m²</v>
      </c>
      <c r="F53" s="18" t="n">
        <f aca="false">Obj_Grundflaeche</f>
        <v>122</v>
      </c>
      <c r="G53" s="15"/>
      <c r="H53" s="18" t="n">
        <f aca="false">IF($G53="",$F53,$G53)</f>
        <v>122</v>
      </c>
      <c r="I53" s="28" t="n">
        <f aca="false">INDEX(02_Massnahmenkatalog!$F:$F,MATCH($B53,02_Massnahmenkatalog!$B:$B,0))</f>
        <v>27</v>
      </c>
      <c r="J53" s="20" t="n">
        <f aca="false">$H53*$I53</f>
        <v>3294</v>
      </c>
      <c r="K53" s="26" t="str">
        <f aca="false">INDEX(02_Massnahmenkatalog!$H:$H,MATCH($B53,02_Massnahmenkatalog!$B:$B,0))</f>
        <v>Ja</v>
      </c>
      <c r="L53" s="15"/>
      <c r="M53" s="15" t="n">
        <v>3</v>
      </c>
      <c r="N53" s="26" t="n">
        <f aca="false">INDEX(02_Massnahmenkatalog!$G:$G,MATCH($B53,02_Massnahmenkatalog!$B:$B,0))</f>
        <v>40</v>
      </c>
      <c r="O53" s="29" t="n">
        <f aca="false">INDEX(04_Nutzungsdauern!$C:$C,MATCH($M53,04_Nutzungsdauern!$B:$B,0))</f>
        <v>0.7</v>
      </c>
      <c r="P53" s="18" t="n">
        <f aca="false">$N53*$O53-(A_Jahr-IF($L53="",Obj_Baujahr,$L53))</f>
        <v>-30</v>
      </c>
      <c r="Q53" s="18" t="n">
        <f aca="false">A_Jahr+MAX(0,$P53)</f>
        <v>2026</v>
      </c>
      <c r="R53" s="15" t="s">
        <v>601</v>
      </c>
      <c r="S53" s="18" t="str">
        <f aca="false">IF($R53="Automatik",IF($Q53&lt;=A_Jahr+A_Horizont,"JA","NEIN"),IF(OR($R53="Sofort",$R53="In Horizont"),"JA","NEIN"))</f>
        <v>JA</v>
      </c>
      <c r="T53" s="16" t="n">
        <v>0</v>
      </c>
      <c r="U53" s="20" t="n">
        <f aca="false">IF(AND($K53="Ja",$S53="JA"),$J53*(1-$T53),0)</f>
        <v>3294</v>
      </c>
      <c r="V53" s="30" t="str">
        <f aca="false">IF(AND($S53="NEIN",OR(AND(Obj_Zielstandard="EH 55 EE",$X53="Ja"),AND(Obj_Zielstandard="EH 40 EE",$Y53="Ja"))),"Pflicht bei Zielstandard, aber nicht aufgenommen","")</f>
        <v/>
      </c>
      <c r="W53" s="15"/>
      <c r="X53" s="26" t="str">
        <f aca="false">INDEX(02_Massnahmenkatalog!$J:$J,MATCH($B53,02_Massnahmenkatalog!$B:$B,0))</f>
        <v>Ja</v>
      </c>
      <c r="Y53" s="26" t="str">
        <f aca="false">INDEX(02_Massnahmenkatalog!$K:$K,MATCH($B53,02_Massnahmenkatalog!$B:$B,0))</f>
        <v>Ja</v>
      </c>
    </row>
    <row r="54" customFormat="false" ht="57.45" hidden="false" customHeight="false" outlineLevel="0" collapsed="false">
      <c r="B54" s="18" t="s">
        <v>248</v>
      </c>
      <c r="C54" s="26" t="str">
        <f aca="false">INDEX(02_Massnahmenkatalog!$C:$C,MATCH($B54,02_Massnahmenkatalog!$B:$B,0))</f>
        <v>Hülle</v>
      </c>
      <c r="D54" s="27" t="str">
        <f aca="false">INDEX(02_Massnahmenkatalog!$D:$D,MATCH($B54,02_Massnahmenkatalog!$B:$B,0))</f>
        <v>WDVS Außenwand (U≤0,20, 16cm) inkl. Gerüst+Putz</v>
      </c>
      <c r="E54" s="26" t="str">
        <f aca="false">INDEX(02_Massnahmenkatalog!$E:$E,MATCH($B54,02_Massnahmenkatalog!$B:$B,0))</f>
        <v>€/m² Fassade</v>
      </c>
      <c r="F54" s="18" t="n">
        <f aca="false">Obj_Fassadenflaeche</f>
        <v>131.329342494357</v>
      </c>
      <c r="G54" s="15"/>
      <c r="H54" s="18" t="n">
        <f aca="false">IF($G54="",$F54,$G54)</f>
        <v>131.329342494357</v>
      </c>
      <c r="I54" s="28" t="n">
        <f aca="false">INDEX(02_Massnahmenkatalog!$F:$F,MATCH($B54,02_Massnahmenkatalog!$B:$B,0))</f>
        <v>180</v>
      </c>
      <c r="J54" s="20" t="n">
        <f aca="false">$H54*$I54</f>
        <v>23639.2816489842</v>
      </c>
      <c r="K54" s="26" t="str">
        <f aca="false">INDEX(02_Massnahmenkatalog!$H:$H,MATCH($B54,02_Massnahmenkatalog!$B:$B,0))</f>
        <v>Ja</v>
      </c>
      <c r="L54" s="15"/>
      <c r="M54" s="15" t="n">
        <v>4</v>
      </c>
      <c r="N54" s="26" t="n">
        <f aca="false">INDEX(02_Massnahmenkatalog!$G:$G,MATCH($B54,02_Massnahmenkatalog!$B:$B,0))</f>
        <v>40</v>
      </c>
      <c r="O54" s="29" t="n">
        <f aca="false">INDEX(04_Nutzungsdauern!$C:$C,MATCH($M54,04_Nutzungsdauern!$B:$B,0))</f>
        <v>0.35</v>
      </c>
      <c r="P54" s="18" t="n">
        <f aca="false">$N54*$O54-(A_Jahr-IF($L54="",Obj_Baujahr,$L54))</f>
        <v>-44</v>
      </c>
      <c r="Q54" s="18" t="n">
        <f aca="false">A_Jahr+MAX(0,$P54)</f>
        <v>2026</v>
      </c>
      <c r="R54" s="15" t="s">
        <v>601</v>
      </c>
      <c r="S54" s="18" t="str">
        <f aca="false">IF($R54="Automatik",IF($Q54&lt;=A_Jahr+A_Horizont,"JA","NEIN"),IF(OR($R54="Sofort",$R54="In Horizont"),"JA","NEIN"))</f>
        <v>JA</v>
      </c>
      <c r="T54" s="16" t="n">
        <v>0</v>
      </c>
      <c r="U54" s="20" t="n">
        <f aca="false">IF(AND($K54="Ja",$S54="JA"),$J54*(1-$T54),0)</f>
        <v>23639.2816489842</v>
      </c>
      <c r="V54" s="30" t="str">
        <f aca="false">IF(AND($S54="NEIN",OR(AND(Obj_Zielstandard="EH 55 EE",$X54="Ja"),AND(Obj_Zielstandard="EH 40 EE",$Y54="Ja"))),"Pflicht bei Zielstandard, aber nicht aufgenommen","")</f>
        <v/>
      </c>
      <c r="W54" s="15" t="s">
        <v>789</v>
      </c>
      <c r="X54" s="26" t="str">
        <f aca="false">INDEX(02_Massnahmenkatalog!$J:$J,MATCH($B54,02_Massnahmenkatalog!$B:$B,0))</f>
        <v>Ja</v>
      </c>
      <c r="Y54" s="26" t="str">
        <f aca="false">INDEX(02_Massnahmenkatalog!$K:$K,MATCH($B54,02_Massnahmenkatalog!$B:$B,0))</f>
        <v>Ja</v>
      </c>
    </row>
    <row r="55" customFormat="false" ht="46.25" hidden="false" customHeight="false" outlineLevel="0" collapsed="false">
      <c r="B55" s="18" t="s">
        <v>252</v>
      </c>
      <c r="C55" s="26" t="str">
        <f aca="false">INDEX(02_Massnahmenkatalog!$C:$C,MATCH($B55,02_Massnahmenkatalog!$B:$B,0))</f>
        <v>Hülle</v>
      </c>
      <c r="D55" s="27" t="str">
        <f aca="false">INDEX(02_Massnahmenkatalog!$D:$D,MATCH($B55,02_Massnahmenkatalog!$B:$B,0))</f>
        <v>Fenster 3-fach-Verglasung inkl. Einbau</v>
      </c>
      <c r="E55" s="26" t="str">
        <f aca="false">INDEX(02_Massnahmenkatalog!$E:$E,MATCH($B55,02_Massnahmenkatalog!$B:$B,0))</f>
        <v>€/m² Fensterfläche</v>
      </c>
      <c r="F55" s="18" t="n">
        <f aca="false">Obj_Fensterflaeche</f>
        <v>19.6994013741535</v>
      </c>
      <c r="G55" s="15"/>
      <c r="H55" s="18" t="n">
        <f aca="false">IF($G55="",$F55,$G55)</f>
        <v>19.6994013741535</v>
      </c>
      <c r="I55" s="28" t="n">
        <f aca="false">INDEX(02_Massnahmenkatalog!$F:$F,MATCH($B55,02_Massnahmenkatalog!$B:$B,0))</f>
        <v>285</v>
      </c>
      <c r="J55" s="20" t="n">
        <f aca="false">$H55*$I55</f>
        <v>5614.32939163374</v>
      </c>
      <c r="K55" s="26" t="str">
        <f aca="false">INDEX(02_Massnahmenkatalog!$H:$H,MATCH($B55,02_Massnahmenkatalog!$B:$B,0))</f>
        <v>Ja</v>
      </c>
      <c r="L55" s="15"/>
      <c r="M55" s="15" t="n">
        <v>3</v>
      </c>
      <c r="N55" s="26" t="n">
        <f aca="false">INDEX(02_Massnahmenkatalog!$G:$G,MATCH($B55,02_Massnahmenkatalog!$B:$B,0))</f>
        <v>37</v>
      </c>
      <c r="O55" s="29" t="n">
        <f aca="false">INDEX(04_Nutzungsdauern!$C:$C,MATCH($M55,04_Nutzungsdauern!$B:$B,0))</f>
        <v>0.7</v>
      </c>
      <c r="P55" s="18" t="n">
        <f aca="false">$N55*$O55-(A_Jahr-IF($L55="",Obj_Baujahr,$L55))</f>
        <v>-32.1</v>
      </c>
      <c r="Q55" s="18" t="n">
        <f aca="false">A_Jahr+MAX(0,$P55)</f>
        <v>2026</v>
      </c>
      <c r="R55" s="15" t="s">
        <v>601</v>
      </c>
      <c r="S55" s="18" t="str">
        <f aca="false">IF($R55="Automatik",IF($Q55&lt;=A_Jahr+A_Horizont,"JA","NEIN"),IF(OR($R55="Sofort",$R55="In Horizont"),"JA","NEIN"))</f>
        <v>JA</v>
      </c>
      <c r="T55" s="16" t="n">
        <v>0</v>
      </c>
      <c r="U55" s="20" t="n">
        <f aca="false">IF(AND($K55="Ja",$S55="JA"),$J55*(1-$T55),0)</f>
        <v>5614.32939163374</v>
      </c>
      <c r="V55" s="30" t="str">
        <f aca="false">IF(AND($S55="NEIN",OR(AND(Obj_Zielstandard="EH 55 EE",$X55="Ja"),AND(Obj_Zielstandard="EH 40 EE",$Y55="Ja"))),"Pflicht bei Zielstandard, aber nicht aufgenommen","")</f>
        <v/>
      </c>
      <c r="W55" s="15"/>
      <c r="X55" s="26" t="str">
        <f aca="false">INDEX(02_Massnahmenkatalog!$J:$J,MATCH($B55,02_Massnahmenkatalog!$B:$B,0))</f>
        <v>Ja</v>
      </c>
      <c r="Y55" s="26" t="str">
        <f aca="false">INDEX(02_Massnahmenkatalog!$K:$K,MATCH($B55,02_Massnahmenkatalog!$B:$B,0))</f>
        <v>Ja</v>
      </c>
    </row>
    <row r="56" customFormat="false" ht="35.05" hidden="false" customHeight="false" outlineLevel="0" collapsed="false">
      <c r="B56" s="18" t="s">
        <v>256</v>
      </c>
      <c r="C56" s="26" t="str">
        <f aca="false">INDEX(02_Massnahmenkatalog!$C:$C,MATCH($B56,02_Massnahmenkatalog!$B:$B,0))</f>
        <v>Hülle</v>
      </c>
      <c r="D56" s="27" t="str">
        <f aca="false">INDEX(02_Massnahmenkatalog!$D:$D,MATCH($B56,02_Massnahmenkatalog!$B:$B,0))</f>
        <v>Haustür RC2/RC3 inkl. Einbau</v>
      </c>
      <c r="E56" s="26" t="str">
        <f aca="false">INDEX(02_Massnahmenkatalog!$E:$E,MATCH($B56,02_Massnahmenkatalog!$B:$B,0))</f>
        <v>€/Stück</v>
      </c>
      <c r="F56" s="18" t="n">
        <f aca="false">1</f>
        <v>1</v>
      </c>
      <c r="G56" s="15"/>
      <c r="H56" s="18" t="n">
        <f aca="false">IF($G56="",$F56,$G56)</f>
        <v>1</v>
      </c>
      <c r="I56" s="28" t="n">
        <f aca="false">INDEX(02_Massnahmenkatalog!$F:$F,MATCH($B56,02_Massnahmenkatalog!$B:$B,0))</f>
        <v>2800</v>
      </c>
      <c r="J56" s="20" t="n">
        <f aca="false">$H56*$I56</f>
        <v>2800</v>
      </c>
      <c r="K56" s="26" t="str">
        <f aca="false">INDEX(02_Massnahmenkatalog!$H:$H,MATCH($B56,02_Massnahmenkatalog!$B:$B,0))</f>
        <v>Ja</v>
      </c>
      <c r="L56" s="15"/>
      <c r="M56" s="15" t="n">
        <v>3</v>
      </c>
      <c r="N56" s="26" t="n">
        <f aca="false">INDEX(02_Massnahmenkatalog!$G:$G,MATCH($B56,02_Massnahmenkatalog!$B:$B,0))</f>
        <v>45</v>
      </c>
      <c r="O56" s="29" t="n">
        <f aca="false">INDEX(04_Nutzungsdauern!$C:$C,MATCH($M56,04_Nutzungsdauern!$B:$B,0))</f>
        <v>0.7</v>
      </c>
      <c r="P56" s="18" t="n">
        <f aca="false">$N56*$O56-(A_Jahr-IF($L56="",Obj_Baujahr,$L56))</f>
        <v>-26.5</v>
      </c>
      <c r="Q56" s="18" t="n">
        <f aca="false">A_Jahr+MAX(0,$P56)</f>
        <v>2026</v>
      </c>
      <c r="R56" s="15" t="s">
        <v>601</v>
      </c>
      <c r="S56" s="18" t="str">
        <f aca="false">IF($R56="Automatik",IF($Q56&lt;=A_Jahr+A_Horizont,"JA","NEIN"),IF(OR($R56="Sofort",$R56="In Horizont"),"JA","NEIN"))</f>
        <v>JA</v>
      </c>
      <c r="T56" s="16" t="n">
        <v>0</v>
      </c>
      <c r="U56" s="20" t="n">
        <f aca="false">IF(AND($K56="Ja",$S56="JA"),$J56*(1-$T56),0)</f>
        <v>2800</v>
      </c>
      <c r="V56" s="30" t="str">
        <f aca="false">IF(AND($S56="NEIN",OR(AND(Obj_Zielstandard="EH 55 EE",$X56="Ja"),AND(Obj_Zielstandard="EH 40 EE",$Y56="Ja"))),"Pflicht bei Zielstandard, aber nicht aufgenommen","")</f>
        <v/>
      </c>
      <c r="W56" s="15"/>
      <c r="X56" s="26" t="str">
        <f aca="false">INDEX(02_Massnahmenkatalog!$J:$J,MATCH($B56,02_Massnahmenkatalog!$B:$B,0))</f>
        <v>Nein</v>
      </c>
      <c r="Y56" s="26" t="str">
        <f aca="false">INDEX(02_Massnahmenkatalog!$K:$K,MATCH($B56,02_Massnahmenkatalog!$B:$B,0))</f>
        <v>Nein</v>
      </c>
    </row>
    <row r="57" customFormat="false" ht="35.05" hidden="false" customHeight="false" outlineLevel="0" collapsed="false">
      <c r="B57" s="18" t="s">
        <v>260</v>
      </c>
      <c r="C57" s="26" t="str">
        <f aca="false">INDEX(02_Massnahmenkatalog!$C:$C,MATCH($B57,02_Massnahmenkatalog!$B:$B,0))</f>
        <v>Hülle</v>
      </c>
      <c r="D57" s="27" t="str">
        <f aca="false">INDEX(02_Massnahmenkatalog!$D:$D,MATCH($B57,02_Massnahmenkatalog!$B:$B,0))</f>
        <v>Nebeneingangstür Stahl RC2</v>
      </c>
      <c r="E57" s="26" t="str">
        <f aca="false">INDEX(02_Massnahmenkatalog!$E:$E,MATCH($B57,02_Massnahmenkatalog!$B:$B,0))</f>
        <v>€/Stück</v>
      </c>
      <c r="F57" s="18" t="n">
        <f aca="false">MAX(0,Obj_Geschosse-1)</f>
        <v>0</v>
      </c>
      <c r="G57" s="15"/>
      <c r="H57" s="18" t="n">
        <f aca="false">IF($G57="",$F57,$G57)</f>
        <v>0</v>
      </c>
      <c r="I57" s="28" t="n">
        <f aca="false">INDEX(02_Massnahmenkatalog!$F:$F,MATCH($B57,02_Massnahmenkatalog!$B:$B,0))</f>
        <v>1000</v>
      </c>
      <c r="J57" s="20" t="n">
        <f aca="false">$H57*$I57</f>
        <v>0</v>
      </c>
      <c r="K57" s="26" t="str">
        <f aca="false">INDEX(02_Massnahmenkatalog!$H:$H,MATCH($B57,02_Massnahmenkatalog!$B:$B,0))</f>
        <v>Ja</v>
      </c>
      <c r="L57" s="15"/>
      <c r="M57" s="15" t="n">
        <v>3</v>
      </c>
      <c r="N57" s="26" t="n">
        <f aca="false">INDEX(02_Massnahmenkatalog!$G:$G,MATCH($B57,02_Massnahmenkatalog!$B:$B,0))</f>
        <v>45</v>
      </c>
      <c r="O57" s="29" t="n">
        <f aca="false">INDEX(04_Nutzungsdauern!$C:$C,MATCH($M57,04_Nutzungsdauern!$B:$B,0))</f>
        <v>0.7</v>
      </c>
      <c r="P57" s="18" t="n">
        <f aca="false">$N57*$O57-(A_Jahr-IF($L57="",Obj_Baujahr,$L57))</f>
        <v>-26.5</v>
      </c>
      <c r="Q57" s="18" t="n">
        <f aca="false">A_Jahr+MAX(0,$P57)</f>
        <v>2026</v>
      </c>
      <c r="R57" s="15" t="s">
        <v>601</v>
      </c>
      <c r="S57" s="18" t="str">
        <f aca="false">IF($R57="Automatik",IF($Q57&lt;=A_Jahr+A_Horizont,"JA","NEIN"),IF(OR($R57="Sofort",$R57="In Horizont"),"JA","NEIN"))</f>
        <v>JA</v>
      </c>
      <c r="T57" s="16" t="n">
        <v>0</v>
      </c>
      <c r="U57" s="20" t="n">
        <f aca="false">IF(AND($K57="Ja",$S57="JA"),$J57*(1-$T57),0)</f>
        <v>0</v>
      </c>
      <c r="V57" s="30" t="str">
        <f aca="false">IF(AND($S57="NEIN",OR(AND(Obj_Zielstandard="EH 55 EE",$X57="Ja"),AND(Obj_Zielstandard="EH 40 EE",$Y57="Ja"))),"Pflicht bei Zielstandard, aber nicht aufgenommen","")</f>
        <v/>
      </c>
      <c r="W57" s="15"/>
      <c r="X57" s="26" t="str">
        <f aca="false">INDEX(02_Massnahmenkatalog!$J:$J,MATCH($B57,02_Massnahmenkatalog!$B:$B,0))</f>
        <v>Nein</v>
      </c>
      <c r="Y57" s="26" t="str">
        <f aca="false">INDEX(02_Massnahmenkatalog!$K:$K,MATCH($B57,02_Massnahmenkatalog!$B:$B,0))</f>
        <v>Nein</v>
      </c>
    </row>
    <row r="58" customFormat="false" ht="35.05" hidden="false" customHeight="false" outlineLevel="0" collapsed="false">
      <c r="B58" s="18" t="s">
        <v>262</v>
      </c>
      <c r="C58" s="26" t="str">
        <f aca="false">INDEX(02_Massnahmenkatalog!$C:$C,MATCH($B58,02_Massnahmenkatalog!$B:$B,0))</f>
        <v>Hülle</v>
      </c>
      <c r="D58" s="27" t="str">
        <f aca="false">INDEX(02_Massnahmenkatalog!$D:$D,MATCH($B58,02_Massnahmenkatalog!$B:$B,0))</f>
        <v>Rollläden elektrisch nachrüsten</v>
      </c>
      <c r="E58" s="26" t="str">
        <f aca="false">INDEX(02_Massnahmenkatalog!$E:$E,MATCH($B58,02_Massnahmenkatalog!$B:$B,0))</f>
        <v>€/Fenster</v>
      </c>
      <c r="F58" s="18" t="n">
        <f aca="false">Obj_AnzFenster</f>
        <v>11.5878831612668</v>
      </c>
      <c r="G58" s="15"/>
      <c r="H58" s="18" t="n">
        <f aca="false">IF($G58="",$F58,$G58)</f>
        <v>11.5878831612668</v>
      </c>
      <c r="I58" s="28" t="n">
        <f aca="false">INDEX(02_Massnahmenkatalog!$F:$F,MATCH($B58,02_Massnahmenkatalog!$B:$B,0))</f>
        <v>850</v>
      </c>
      <c r="J58" s="20" t="n">
        <f aca="false">$H58*$I58</f>
        <v>9849.70068707674</v>
      </c>
      <c r="K58" s="26" t="str">
        <f aca="false">INDEX(02_Massnahmenkatalog!$H:$H,MATCH($B58,02_Massnahmenkatalog!$B:$B,0))</f>
        <v>Ja</v>
      </c>
      <c r="L58" s="15"/>
      <c r="M58" s="15" t="n">
        <v>3</v>
      </c>
      <c r="N58" s="26" t="n">
        <f aca="false">INDEX(02_Massnahmenkatalog!$G:$G,MATCH($B58,02_Massnahmenkatalog!$B:$B,0))</f>
        <v>30</v>
      </c>
      <c r="O58" s="29" t="n">
        <f aca="false">INDEX(04_Nutzungsdauern!$C:$C,MATCH($M58,04_Nutzungsdauern!$B:$B,0))</f>
        <v>0.7</v>
      </c>
      <c r="P58" s="18" t="n">
        <f aca="false">$N58*$O58-(A_Jahr-IF($L58="",Obj_Baujahr,$L58))</f>
        <v>-37</v>
      </c>
      <c r="Q58" s="18" t="n">
        <f aca="false">A_Jahr+MAX(0,$P58)</f>
        <v>2026</v>
      </c>
      <c r="R58" s="15" t="s">
        <v>601</v>
      </c>
      <c r="S58" s="18" t="str">
        <f aca="false">IF($R58="Automatik",IF($Q58&lt;=A_Jahr+A_Horizont,"JA","NEIN"),IF(OR($R58="Sofort",$R58="In Horizont"),"JA","NEIN"))</f>
        <v>JA</v>
      </c>
      <c r="T58" s="16" t="n">
        <v>0</v>
      </c>
      <c r="U58" s="20" t="n">
        <f aca="false">IF(AND($K58="Ja",$S58="JA"),$J58*(1-$T58),0)</f>
        <v>9849.70068707674</v>
      </c>
      <c r="V58" s="30" t="str">
        <f aca="false">IF(AND($S58="NEIN",OR(AND(Obj_Zielstandard="EH 55 EE",$X58="Ja"),AND(Obj_Zielstandard="EH 40 EE",$Y58="Ja"))),"Pflicht bei Zielstandard, aber nicht aufgenommen","")</f>
        <v/>
      </c>
      <c r="W58" s="15"/>
      <c r="X58" s="26" t="str">
        <f aca="false">INDEX(02_Massnahmenkatalog!$J:$J,MATCH($B58,02_Massnahmenkatalog!$B:$B,0))</f>
        <v>Nein</v>
      </c>
      <c r="Y58" s="26" t="str">
        <f aca="false">INDEX(02_Massnahmenkatalog!$K:$K,MATCH($B58,02_Massnahmenkatalog!$B:$B,0))</f>
        <v>Nein</v>
      </c>
    </row>
    <row r="59" customFormat="false" ht="35.05" hidden="false" customHeight="false" outlineLevel="0" collapsed="false">
      <c r="B59" s="18" t="s">
        <v>265</v>
      </c>
      <c r="C59" s="26" t="str">
        <f aca="false">INDEX(02_Massnahmenkatalog!$C:$C,MATCH($B59,02_Massnahmenkatalog!$B:$B,0))</f>
        <v>Hülle</v>
      </c>
      <c r="D59" s="27" t="str">
        <f aca="false">INDEX(02_Massnahmenkatalog!$D:$D,MATCH($B59,02_Massnahmenkatalog!$B:$B,0))</f>
        <v>Kellerdeckendämmung von unten</v>
      </c>
      <c r="E59" s="26" t="str">
        <f aca="false">INDEX(02_Massnahmenkatalog!$E:$E,MATCH($B59,02_Massnahmenkatalog!$B:$B,0))</f>
        <v>€/m²</v>
      </c>
      <c r="F59" s="18" t="n">
        <f aca="false">IF(Obj_KellerTyp&lt;&gt;"Kein Keller",Obj_Grundflaeche,0)</f>
        <v>122</v>
      </c>
      <c r="G59" s="15"/>
      <c r="H59" s="18" t="n">
        <f aca="false">IF($G59="",$F59,$G59)</f>
        <v>122</v>
      </c>
      <c r="I59" s="28" t="n">
        <f aca="false">INDEX(02_Massnahmenkatalog!$F:$F,MATCH($B59,02_Massnahmenkatalog!$B:$B,0))</f>
        <v>32</v>
      </c>
      <c r="J59" s="20" t="n">
        <f aca="false">$H59*$I59</f>
        <v>3904</v>
      </c>
      <c r="K59" s="26" t="str">
        <f aca="false">INDEX(02_Massnahmenkatalog!$H:$H,MATCH($B59,02_Massnahmenkatalog!$B:$B,0))</f>
        <v>Ja</v>
      </c>
      <c r="L59" s="15"/>
      <c r="M59" s="15" t="n">
        <v>3</v>
      </c>
      <c r="N59" s="26" t="n">
        <f aca="false">INDEX(02_Massnahmenkatalog!$G:$G,MATCH($B59,02_Massnahmenkatalog!$B:$B,0))</f>
        <v>40</v>
      </c>
      <c r="O59" s="29" t="n">
        <f aca="false">INDEX(04_Nutzungsdauern!$C:$C,MATCH($M59,04_Nutzungsdauern!$B:$B,0))</f>
        <v>0.7</v>
      </c>
      <c r="P59" s="18" t="n">
        <f aca="false">$N59*$O59-(A_Jahr-IF($L59="",Obj_Baujahr,$L59))</f>
        <v>-30</v>
      </c>
      <c r="Q59" s="18" t="n">
        <f aca="false">A_Jahr+MAX(0,$P59)</f>
        <v>2026</v>
      </c>
      <c r="R59" s="15" t="s">
        <v>601</v>
      </c>
      <c r="S59" s="18" t="str">
        <f aca="false">IF($R59="Automatik",IF($Q59&lt;=A_Jahr+A_Horizont,"JA","NEIN"),IF(OR($R59="Sofort",$R59="In Horizont"),"JA","NEIN"))</f>
        <v>JA</v>
      </c>
      <c r="T59" s="16" t="n">
        <v>0</v>
      </c>
      <c r="U59" s="20" t="n">
        <f aca="false">IF(AND($K59="Ja",$S59="JA"),$J59*(1-$T59),0)</f>
        <v>3904</v>
      </c>
      <c r="V59" s="30" t="str">
        <f aca="false">IF(AND($S59="NEIN",OR(AND(Obj_Zielstandard="EH 55 EE",$X59="Ja"),AND(Obj_Zielstandard="EH 40 EE",$Y59="Ja"))),"Pflicht bei Zielstandard, aber nicht aufgenommen","")</f>
        <v/>
      </c>
      <c r="W59" s="15"/>
      <c r="X59" s="26" t="str">
        <f aca="false">INDEX(02_Massnahmenkatalog!$J:$J,MATCH($B59,02_Massnahmenkatalog!$B:$B,0))</f>
        <v>Ja</v>
      </c>
      <c r="Y59" s="26" t="str">
        <f aca="false">INDEX(02_Massnahmenkatalog!$K:$K,MATCH($B59,02_Massnahmenkatalog!$B:$B,0))</f>
        <v>Ja</v>
      </c>
    </row>
    <row r="60" customFormat="false" ht="46.25" hidden="false" customHeight="false" outlineLevel="0" collapsed="false">
      <c r="B60" s="18" t="s">
        <v>268</v>
      </c>
      <c r="C60" s="26" t="str">
        <f aca="false">INDEX(02_Massnahmenkatalog!$C:$C,MATCH($B60,02_Massnahmenkatalog!$B:$B,0))</f>
        <v>Hülle</v>
      </c>
      <c r="D60" s="27" t="str">
        <f aca="false">INDEX(02_Massnahmenkatalog!$D:$D,MATCH($B60,02_Massnahmenkatalog!$B:$B,0))</f>
        <v>Perimeterdämmung + Kellerabdichtung außen</v>
      </c>
      <c r="E60" s="26" t="str">
        <f aca="false">INDEX(02_Massnahmenkatalog!$E:$E,MATCH($B60,02_Massnahmenkatalog!$B:$B,0))</f>
        <v>€/lfm Umfang</v>
      </c>
      <c r="F60" s="18" t="n">
        <f aca="false">IF(Obj_KellerTyp="Vollkeller",Obj_Umfang,0)</f>
        <v>0</v>
      </c>
      <c r="G60" s="15"/>
      <c r="H60" s="18" t="n">
        <f aca="false">IF($G60="",$F60,$G60)</f>
        <v>0</v>
      </c>
      <c r="I60" s="28" t="n">
        <f aca="false">INDEX(02_Massnahmenkatalog!$F:$F,MATCH($B60,02_Massnahmenkatalog!$B:$B,0))</f>
        <v>300</v>
      </c>
      <c r="J60" s="20" t="n">
        <f aca="false">$H60*$I60</f>
        <v>0</v>
      </c>
      <c r="K60" s="26" t="str">
        <f aca="false">INDEX(02_Massnahmenkatalog!$H:$H,MATCH($B60,02_Massnahmenkatalog!$B:$B,0))</f>
        <v>Ja</v>
      </c>
      <c r="L60" s="15"/>
      <c r="M60" s="15" t="n">
        <v>3</v>
      </c>
      <c r="N60" s="26" t="n">
        <f aca="false">INDEX(02_Massnahmenkatalog!$G:$G,MATCH($B60,02_Massnahmenkatalog!$B:$B,0))</f>
        <v>40</v>
      </c>
      <c r="O60" s="29" t="n">
        <f aca="false">INDEX(04_Nutzungsdauern!$C:$C,MATCH($M60,04_Nutzungsdauern!$B:$B,0))</f>
        <v>0.7</v>
      </c>
      <c r="P60" s="18" t="n">
        <f aca="false">$N60*$O60-(A_Jahr-IF($L60="",Obj_Baujahr,$L60))</f>
        <v>-30</v>
      </c>
      <c r="Q60" s="18" t="n">
        <f aca="false">A_Jahr+MAX(0,$P60)</f>
        <v>2026</v>
      </c>
      <c r="R60" s="15" t="s">
        <v>790</v>
      </c>
      <c r="S60" s="18" t="str">
        <f aca="false">IF($R60="Automatik",IF($Q60&lt;=A_Jahr+A_Horizont,"JA","NEIN"),IF(OR($R60="Sofort",$R60="In Horizont"),"JA","NEIN"))</f>
        <v>NEIN</v>
      </c>
      <c r="T60" s="16" t="n">
        <v>0</v>
      </c>
      <c r="U60" s="20" t="n">
        <f aca="false">IF(AND($K60="Ja",$S60="JA"),$J60*(1-$T60),0)</f>
        <v>0</v>
      </c>
      <c r="V60" s="30" t="str">
        <f aca="false">IF(AND($S60="NEIN",OR(AND(Obj_Zielstandard="EH 55 EE",$X60="Ja"),AND(Obj_Zielstandard="EH 40 EE",$Y60="Ja"))),"Pflicht bei Zielstandard, aber nicht aufgenommen","")</f>
        <v/>
      </c>
      <c r="W60" s="15" t="s">
        <v>791</v>
      </c>
      <c r="X60" s="26" t="str">
        <f aca="false">INDEX(02_Massnahmenkatalog!$J:$J,MATCH($B60,02_Massnahmenkatalog!$B:$B,0))</f>
        <v>Nein</v>
      </c>
      <c r="Y60" s="26" t="str">
        <f aca="false">INDEX(02_Massnahmenkatalog!$K:$K,MATCH($B60,02_Massnahmenkatalog!$B:$B,0))</f>
        <v>Nein</v>
      </c>
    </row>
    <row r="61" customFormat="false" ht="35.05" hidden="false" customHeight="false" outlineLevel="0" collapsed="false">
      <c r="B61" s="18" t="s">
        <v>272</v>
      </c>
      <c r="C61" s="26" t="str">
        <f aca="false">INDEX(02_Massnahmenkatalog!$C:$C,MATCH($B61,02_Massnahmenkatalog!$B:$B,0))</f>
        <v>Hülle</v>
      </c>
      <c r="D61" s="27" t="str">
        <f aca="false">INDEX(02_Massnahmenkatalog!$D:$D,MATCH($B61,02_Massnahmenkatalog!$B:$B,0))</f>
        <v>Gerüst (Fassade+Dach, pauschal)</v>
      </c>
      <c r="E61" s="26" t="str">
        <f aca="false">INDEX(02_Massnahmenkatalog!$E:$E,MATCH($B61,02_Massnahmenkatalog!$B:$B,0))</f>
        <v>€ pauschal</v>
      </c>
      <c r="F61" s="18" t="n">
        <f aca="false">1</f>
        <v>1</v>
      </c>
      <c r="G61" s="15"/>
      <c r="H61" s="18" t="n">
        <f aca="false">IF($G61="",$F61,$G61)</f>
        <v>1</v>
      </c>
      <c r="I61" s="28" t="n">
        <f aca="false">INDEX(02_Massnahmenkatalog!$F:$F,MATCH($B61,02_Massnahmenkatalog!$B:$B,0))</f>
        <v>2700</v>
      </c>
      <c r="J61" s="20" t="n">
        <f aca="false">$H61*$I61</f>
        <v>2700</v>
      </c>
      <c r="K61" s="26" t="str">
        <f aca="false">INDEX(02_Massnahmenkatalog!$H:$H,MATCH($B61,02_Massnahmenkatalog!$B:$B,0))</f>
        <v>Nein</v>
      </c>
      <c r="L61" s="15"/>
      <c r="M61" s="15" t="n">
        <v>3</v>
      </c>
      <c r="N61" s="26" t="n">
        <f aca="false">INDEX(02_Massnahmenkatalog!$G:$G,MATCH($B61,02_Massnahmenkatalog!$B:$B,0))</f>
        <v>0</v>
      </c>
      <c r="O61" s="29" t="n">
        <f aca="false">INDEX(04_Nutzungsdauern!$C:$C,MATCH($M61,04_Nutzungsdauern!$B:$B,0))</f>
        <v>0.7</v>
      </c>
      <c r="P61" s="18" t="n">
        <f aca="false">$N61*$O61-(A_Jahr-IF($L61="",Obj_Baujahr,$L61))</f>
        <v>-58</v>
      </c>
      <c r="Q61" s="18" t="n">
        <f aca="false">A_Jahr+MAX(0,$P61)</f>
        <v>2026</v>
      </c>
      <c r="R61" s="15" t="s">
        <v>601</v>
      </c>
      <c r="S61" s="18" t="str">
        <f aca="false">IF($R61="Automatik",IF($Q61&lt;=A_Jahr+A_Horizont,"JA","NEIN"),IF(OR($R61="Sofort",$R61="In Horizont"),"JA","NEIN"))</f>
        <v>JA</v>
      </c>
      <c r="T61" s="16" t="n">
        <v>0</v>
      </c>
      <c r="U61" s="20" t="n">
        <f aca="false">IF(AND($K61="Ja",$S61="JA"),$J61*(1-$T61),0)</f>
        <v>0</v>
      </c>
      <c r="V61" s="30" t="str">
        <f aca="false">IF(AND($S61="NEIN",OR(AND(Obj_Zielstandard="EH 55 EE",$X61="Ja"),AND(Obj_Zielstandard="EH 40 EE",$Y61="Ja"))),"Pflicht bei Zielstandard, aber nicht aufgenommen","")</f>
        <v/>
      </c>
      <c r="W61" s="15"/>
      <c r="X61" s="26" t="str">
        <f aca="false">INDEX(02_Massnahmenkatalog!$J:$J,MATCH($B61,02_Massnahmenkatalog!$B:$B,0))</f>
        <v>Nein</v>
      </c>
      <c r="Y61" s="26" t="str">
        <f aca="false">INDEX(02_Massnahmenkatalog!$K:$K,MATCH($B61,02_Massnahmenkatalog!$B:$B,0))</f>
        <v>Nein</v>
      </c>
    </row>
    <row r="62" customFormat="false" ht="46.25" hidden="false" customHeight="false" outlineLevel="0" collapsed="false">
      <c r="B62" s="18" t="s">
        <v>275</v>
      </c>
      <c r="C62" s="26" t="str">
        <f aca="false">INDEX(02_Massnahmenkatalog!$C:$C,MATCH($B62,02_Massnahmenkatalog!$B:$B,0))</f>
        <v>Hülle</v>
      </c>
      <c r="D62" s="27" t="str">
        <f aca="false">INDEX(02_Massnahmenkatalog!$D:$D,MATCH($B62,02_Massnahmenkatalog!$B:$B,0))</f>
        <v>Blower-Door-Test + Wärmebrückennachweis</v>
      </c>
      <c r="E62" s="26" t="str">
        <f aca="false">INDEX(02_Massnahmenkatalog!$E:$E,MATCH($B62,02_Massnahmenkatalog!$B:$B,0))</f>
        <v>€ pauschal</v>
      </c>
      <c r="F62" s="18" t="n">
        <f aca="false">1</f>
        <v>1</v>
      </c>
      <c r="G62" s="15"/>
      <c r="H62" s="18" t="n">
        <f aca="false">IF($G62="",$F62,$G62)</f>
        <v>1</v>
      </c>
      <c r="I62" s="28" t="n">
        <f aca="false">INDEX(02_Massnahmenkatalog!$F:$F,MATCH($B62,02_Massnahmenkatalog!$B:$B,0))</f>
        <v>1140</v>
      </c>
      <c r="J62" s="20" t="n">
        <f aca="false">$H62*$I62</f>
        <v>1140</v>
      </c>
      <c r="K62" s="26" t="str">
        <f aca="false">INDEX(02_Massnahmenkatalog!$H:$H,MATCH($B62,02_Massnahmenkatalog!$B:$B,0))</f>
        <v>Ja</v>
      </c>
      <c r="L62" s="15"/>
      <c r="M62" s="15" t="n">
        <v>3</v>
      </c>
      <c r="N62" s="26" t="n">
        <f aca="false">INDEX(02_Massnahmenkatalog!$G:$G,MATCH($B62,02_Massnahmenkatalog!$B:$B,0))</f>
        <v>0</v>
      </c>
      <c r="O62" s="29" t="n">
        <f aca="false">INDEX(04_Nutzungsdauern!$C:$C,MATCH($M62,04_Nutzungsdauern!$B:$B,0))</f>
        <v>0.7</v>
      </c>
      <c r="P62" s="18" t="n">
        <f aca="false">$N62*$O62-(A_Jahr-IF($L62="",Obj_Baujahr,$L62))</f>
        <v>-58</v>
      </c>
      <c r="Q62" s="18" t="n">
        <f aca="false">A_Jahr+MAX(0,$P62)</f>
        <v>2026</v>
      </c>
      <c r="R62" s="15" t="s">
        <v>601</v>
      </c>
      <c r="S62" s="18" t="str">
        <f aca="false">IF($R62="Automatik",IF($Q62&lt;=A_Jahr+A_Horizont,"JA","NEIN"),IF(OR($R62="Sofort",$R62="In Horizont"),"JA","NEIN"))</f>
        <v>JA</v>
      </c>
      <c r="T62" s="16" t="n">
        <v>0</v>
      </c>
      <c r="U62" s="20" t="n">
        <f aca="false">IF(AND($K62="Ja",$S62="JA"),$J62*(1-$T62),0)</f>
        <v>1140</v>
      </c>
      <c r="V62" s="30" t="str">
        <f aca="false">IF(AND($S62="NEIN",OR(AND(Obj_Zielstandard="EH 55 EE",$X62="Ja"),AND(Obj_Zielstandard="EH 40 EE",$Y62="Ja"))),"Pflicht bei Zielstandard, aber nicht aufgenommen","")</f>
        <v/>
      </c>
      <c r="W62" s="15"/>
      <c r="X62" s="26" t="str">
        <f aca="false">INDEX(02_Massnahmenkatalog!$J:$J,MATCH($B62,02_Massnahmenkatalog!$B:$B,0))</f>
        <v>Ja</v>
      </c>
      <c r="Y62" s="26" t="str">
        <f aca="false">INDEX(02_Massnahmenkatalog!$K:$K,MATCH($B62,02_Massnahmenkatalog!$B:$B,0))</f>
        <v>Ja</v>
      </c>
    </row>
    <row r="63" customFormat="false" ht="68.65" hidden="false" customHeight="false" outlineLevel="0" collapsed="false">
      <c r="B63" s="18" t="s">
        <v>279</v>
      </c>
      <c r="C63" s="26" t="str">
        <f aca="false">INDEX(02_Massnahmenkatalog!$C:$C,MATCH($B63,02_Massnahmenkatalog!$B:$B,0))</f>
        <v>Anlagentechnik</v>
      </c>
      <c r="D63" s="27" t="str">
        <f aca="false">INDEX(02_Massnahmenkatalog!$D:$D,MATCH($B63,02_Massnahmenkatalog!$B:$B,0))</f>
        <v>Luft-Wasser-Wärmepumpe Gesamtsystem inkl. Demontage Altanlage</v>
      </c>
      <c r="E63" s="26" t="str">
        <f aca="false">INDEX(02_Massnahmenkatalog!$E:$E,MATCH($B63,02_Massnahmenkatalog!$B:$B,0))</f>
        <v>€ pauschal (skaliert)</v>
      </c>
      <c r="F63" s="18" t="n">
        <f aca="false">Obj_Wohnflaeche/130</f>
        <v>0.938461538461539</v>
      </c>
      <c r="G63" s="15"/>
      <c r="H63" s="18" t="n">
        <f aca="false">IF($G63="",$F63,$G63)</f>
        <v>0.938461538461539</v>
      </c>
      <c r="I63" s="28" t="n">
        <f aca="false">INDEX(02_Massnahmenkatalog!$F:$F,MATCH($B63,02_Massnahmenkatalog!$B:$B,0))</f>
        <v>22500</v>
      </c>
      <c r="J63" s="20" t="n">
        <f aca="false">$H63*$I63</f>
        <v>21115.3846153846</v>
      </c>
      <c r="K63" s="26" t="str">
        <f aca="false">INDEX(02_Massnahmenkatalog!$H:$H,MATCH($B63,02_Massnahmenkatalog!$B:$B,0))</f>
        <v>Ja</v>
      </c>
      <c r="L63" s="15"/>
      <c r="M63" s="15" t="n">
        <v>3</v>
      </c>
      <c r="N63" s="26" t="n">
        <f aca="false">INDEX(02_Massnahmenkatalog!$G:$G,MATCH($B63,02_Massnahmenkatalog!$B:$B,0))</f>
        <v>15</v>
      </c>
      <c r="O63" s="29" t="n">
        <f aca="false">INDEX(04_Nutzungsdauern!$C:$C,MATCH($M63,04_Nutzungsdauern!$B:$B,0))</f>
        <v>0.7</v>
      </c>
      <c r="P63" s="18" t="n">
        <f aca="false">$N63*$O63-(A_Jahr-IF($L63="",Obj_Baujahr,$L63))</f>
        <v>-47.5</v>
      </c>
      <c r="Q63" s="18" t="n">
        <f aca="false">A_Jahr+MAX(0,$P63)</f>
        <v>2026</v>
      </c>
      <c r="R63" s="15" t="s">
        <v>601</v>
      </c>
      <c r="S63" s="18" t="str">
        <f aca="false">IF($R63="Automatik",IF($Q63&lt;=A_Jahr+A_Horizont,"JA","NEIN"),IF(OR($R63="Sofort",$R63="In Horizont"),"JA","NEIN"))</f>
        <v>JA</v>
      </c>
      <c r="T63" s="16" t="n">
        <v>0</v>
      </c>
      <c r="U63" s="20" t="n">
        <f aca="false">IF(AND($K63="Ja",$S63="JA"),$J63*(1-$T63),0)</f>
        <v>21115.3846153846</v>
      </c>
      <c r="V63" s="30" t="str">
        <f aca="false">IF(AND($S63="NEIN",OR(AND(Obj_Zielstandard="EH 55 EE",$X63="Ja"),AND(Obj_Zielstandard="EH 40 EE",$Y63="Ja"))),"Pflicht bei Zielstandard, aber nicht aufgenommen","")</f>
        <v/>
      </c>
      <c r="W63" s="15"/>
      <c r="X63" s="26" t="str">
        <f aca="false">INDEX(02_Massnahmenkatalog!$J:$J,MATCH($B63,02_Massnahmenkatalog!$B:$B,0))</f>
        <v>Ja</v>
      </c>
      <c r="Y63" s="26" t="str">
        <f aca="false">INDEX(02_Massnahmenkatalog!$K:$K,MATCH($B63,02_Massnahmenkatalog!$B:$B,0))</f>
        <v>Ja</v>
      </c>
    </row>
    <row r="64" customFormat="false" ht="57.45" hidden="false" customHeight="false" outlineLevel="0" collapsed="false">
      <c r="B64" s="18" t="s">
        <v>285</v>
      </c>
      <c r="C64" s="26" t="str">
        <f aca="false">INDEX(02_Massnahmenkatalog!$C:$C,MATCH($B64,02_Massnahmenkatalog!$B:$B,0))</f>
        <v>Anlagentechnik</v>
      </c>
      <c r="D64" s="27" t="str">
        <f aca="false">INDEX(02_Massnahmenkatalog!$D:$D,MATCH($B64,02_Massnahmenkatalog!$B:$B,0))</f>
        <v>Alternativ: Sole-Wasser-WP mit Erdsonde inkl. Bohrung</v>
      </c>
      <c r="E64" s="26" t="str">
        <f aca="false">INDEX(02_Massnahmenkatalog!$E:$E,MATCH($B64,02_Massnahmenkatalog!$B:$B,0))</f>
        <v>€ pauschal (skaliert)</v>
      </c>
      <c r="F64" s="18" t="n">
        <f aca="false">0</f>
        <v>0</v>
      </c>
      <c r="G64" s="15"/>
      <c r="H64" s="18" t="n">
        <f aca="false">IF($G64="",$F64,$G64)</f>
        <v>0</v>
      </c>
      <c r="I64" s="28" t="n">
        <f aca="false">INDEX(02_Massnahmenkatalog!$F:$F,MATCH($B64,02_Massnahmenkatalog!$B:$B,0))</f>
        <v>28500</v>
      </c>
      <c r="J64" s="20" t="n">
        <f aca="false">$H64*$I64</f>
        <v>0</v>
      </c>
      <c r="K64" s="26" t="str">
        <f aca="false">INDEX(02_Massnahmenkatalog!$H:$H,MATCH($B64,02_Massnahmenkatalog!$B:$B,0))</f>
        <v>Ja</v>
      </c>
      <c r="L64" s="15"/>
      <c r="M64" s="15" t="n">
        <v>3</v>
      </c>
      <c r="N64" s="26" t="n">
        <f aca="false">INDEX(02_Massnahmenkatalog!$G:$G,MATCH($B64,02_Massnahmenkatalog!$B:$B,0))</f>
        <v>27</v>
      </c>
      <c r="O64" s="29" t="n">
        <f aca="false">INDEX(04_Nutzungsdauern!$C:$C,MATCH($M64,04_Nutzungsdauern!$B:$B,0))</f>
        <v>0.7</v>
      </c>
      <c r="P64" s="18" t="n">
        <f aca="false">$N64*$O64-(A_Jahr-IF($L64="",Obj_Baujahr,$L64))</f>
        <v>-39.1</v>
      </c>
      <c r="Q64" s="18" t="n">
        <f aca="false">A_Jahr+MAX(0,$P64)</f>
        <v>2026</v>
      </c>
      <c r="R64" s="15" t="s">
        <v>601</v>
      </c>
      <c r="S64" s="18" t="str">
        <f aca="false">IF($R64="Automatik",IF($Q64&lt;=A_Jahr+A_Horizont,"JA","NEIN"),IF(OR($R64="Sofort",$R64="In Horizont"),"JA","NEIN"))</f>
        <v>JA</v>
      </c>
      <c r="T64" s="16" t="n">
        <v>0</v>
      </c>
      <c r="U64" s="20" t="n">
        <f aca="false">IF(AND($K64="Ja",$S64="JA"),$J64*(1-$T64),0)</f>
        <v>0</v>
      </c>
      <c r="V64" s="30" t="str">
        <f aca="false">IF(AND($S64="NEIN",OR(AND(Obj_Zielstandard="EH 55 EE",$X64="Ja"),AND(Obj_Zielstandard="EH 40 EE",$Y64="Ja"))),"Pflicht bei Zielstandard, aber nicht aufgenommen","")</f>
        <v/>
      </c>
      <c r="W64" s="15"/>
      <c r="X64" s="26" t="str">
        <f aca="false">INDEX(02_Massnahmenkatalog!$J:$J,MATCH($B64,02_Massnahmenkatalog!$B:$B,0))</f>
        <v>Nein</v>
      </c>
      <c r="Y64" s="26" t="str">
        <f aca="false">INDEX(02_Massnahmenkatalog!$K:$K,MATCH($B64,02_Massnahmenkatalog!$B:$B,0))</f>
        <v>Nein</v>
      </c>
    </row>
    <row r="65" customFormat="false" ht="68.65" hidden="false" customHeight="false" outlineLevel="0" collapsed="false">
      <c r="B65" s="18" t="s">
        <v>288</v>
      </c>
      <c r="C65" s="26" t="str">
        <f aca="false">INDEX(02_Massnahmenkatalog!$C:$C,MATCH($B65,02_Massnahmenkatalog!$B:$B,0))</f>
        <v>Anlagentechnik</v>
      </c>
      <c r="D65" s="27" t="str">
        <f aca="false">INDEX(02_Massnahmenkatalog!$D:$D,MATCH($B65,02_Massnahmenkatalog!$B:$B,0))</f>
        <v>Fußbodenheizung Nassestrich (Vollsanierung Bodenaufbau)</v>
      </c>
      <c r="E65" s="26" t="str">
        <f aca="false">INDEX(02_Massnahmenkatalog!$E:$E,MATCH($B65,02_Massnahmenkatalog!$B:$B,0))</f>
        <v>€/m²</v>
      </c>
      <c r="F65" s="18" t="n">
        <f aca="false">Obj_Wohnflaeche*A_F_FBH</f>
        <v>109.8</v>
      </c>
      <c r="G65" s="15"/>
      <c r="H65" s="18" t="n">
        <f aca="false">IF($G65="",$F65,$G65)</f>
        <v>109.8</v>
      </c>
      <c r="I65" s="28" t="n">
        <f aca="false">INDEX(02_Massnahmenkatalog!$F:$F,MATCH($B65,02_Massnahmenkatalog!$B:$B,0))</f>
        <v>65</v>
      </c>
      <c r="J65" s="20" t="n">
        <f aca="false">$H65*$I65</f>
        <v>7137</v>
      </c>
      <c r="K65" s="26" t="str">
        <f aca="false">INDEX(02_Massnahmenkatalog!$H:$H,MATCH($B65,02_Massnahmenkatalog!$B:$B,0))</f>
        <v>Ja</v>
      </c>
      <c r="L65" s="15"/>
      <c r="M65" s="15" t="n">
        <v>3</v>
      </c>
      <c r="N65" s="26" t="n">
        <f aca="false">INDEX(02_Massnahmenkatalog!$G:$G,MATCH($B65,02_Massnahmenkatalog!$B:$B,0))</f>
        <v>45</v>
      </c>
      <c r="O65" s="29" t="n">
        <f aca="false">INDEX(04_Nutzungsdauern!$C:$C,MATCH($M65,04_Nutzungsdauern!$B:$B,0))</f>
        <v>0.7</v>
      </c>
      <c r="P65" s="18" t="n">
        <f aca="false">$N65*$O65-(A_Jahr-IF($L65="",Obj_Baujahr,$L65))</f>
        <v>-26.5</v>
      </c>
      <c r="Q65" s="18" t="n">
        <f aca="false">A_Jahr+MAX(0,$P65)</f>
        <v>2026</v>
      </c>
      <c r="R65" s="15" t="s">
        <v>601</v>
      </c>
      <c r="S65" s="18" t="str">
        <f aca="false">IF($R65="Automatik",IF($Q65&lt;=A_Jahr+A_Horizont,"JA","NEIN"),IF(OR($R65="Sofort",$R65="In Horizont"),"JA","NEIN"))</f>
        <v>JA</v>
      </c>
      <c r="T65" s="16" t="n">
        <v>0</v>
      </c>
      <c r="U65" s="20" t="n">
        <f aca="false">IF(AND($K65="Ja",$S65="JA"),$J65*(1-$T65),0)</f>
        <v>7137</v>
      </c>
      <c r="V65" s="30" t="str">
        <f aca="false">IF(AND($S65="NEIN",OR(AND(Obj_Zielstandard="EH 55 EE",$X65="Ja"),AND(Obj_Zielstandard="EH 40 EE",$Y65="Ja"))),"Pflicht bei Zielstandard, aber nicht aufgenommen","")</f>
        <v/>
      </c>
      <c r="W65" s="15"/>
      <c r="X65" s="26" t="str">
        <f aca="false">INDEX(02_Massnahmenkatalog!$J:$J,MATCH($B65,02_Massnahmenkatalog!$B:$B,0))</f>
        <v>Ja</v>
      </c>
      <c r="Y65" s="26" t="str">
        <f aca="false">INDEX(02_Massnahmenkatalog!$K:$K,MATCH($B65,02_Massnahmenkatalog!$B:$B,0))</f>
        <v>Ja</v>
      </c>
    </row>
    <row r="66" customFormat="false" ht="68.65" hidden="false" customHeight="false" outlineLevel="0" collapsed="false">
      <c r="B66" s="18" t="s">
        <v>290</v>
      </c>
      <c r="C66" s="26" t="str">
        <f aca="false">INDEX(02_Massnahmenkatalog!$C:$C,MATCH($B66,02_Massnahmenkatalog!$B:$B,0))</f>
        <v>Anlagentechnik</v>
      </c>
      <c r="D66" s="27" t="str">
        <f aca="false">INDEX(02_Massnahmenkatalog!$D:$D,MATCH($B66,02_Massnahmenkatalog!$B:$B,0))</f>
        <v>Austausch Heizkörper gegen NT-Heizkörper (wenn keine FBH)</v>
      </c>
      <c r="E66" s="26" t="str">
        <f aca="false">INDEX(02_Massnahmenkatalog!$E:$E,MATCH($B66,02_Massnahmenkatalog!$B:$B,0))</f>
        <v>€/Stück</v>
      </c>
      <c r="F66" s="18" t="n">
        <f aca="false">Obj_AnzHeizkoerper</f>
        <v>8</v>
      </c>
      <c r="G66" s="15"/>
      <c r="H66" s="18" t="n">
        <f aca="false">IF($G66="",$F66,$G66)</f>
        <v>8</v>
      </c>
      <c r="I66" s="28" t="n">
        <f aca="false">INDEX(02_Massnahmenkatalog!$F:$F,MATCH($B66,02_Massnahmenkatalog!$B:$B,0))</f>
        <v>830</v>
      </c>
      <c r="J66" s="20" t="n">
        <f aca="false">$H66*$I66</f>
        <v>6640</v>
      </c>
      <c r="K66" s="26" t="str">
        <f aca="false">INDEX(02_Massnahmenkatalog!$H:$H,MATCH($B66,02_Massnahmenkatalog!$B:$B,0))</f>
        <v>Ja</v>
      </c>
      <c r="L66" s="15"/>
      <c r="M66" s="15" t="n">
        <v>3</v>
      </c>
      <c r="N66" s="26" t="n">
        <f aca="false">INDEX(02_Massnahmenkatalog!$G:$G,MATCH($B66,02_Massnahmenkatalog!$B:$B,0))</f>
        <v>35</v>
      </c>
      <c r="O66" s="29" t="n">
        <f aca="false">INDEX(04_Nutzungsdauern!$C:$C,MATCH($M66,04_Nutzungsdauern!$B:$B,0))</f>
        <v>0.7</v>
      </c>
      <c r="P66" s="18" t="n">
        <f aca="false">$N66*$O66-(A_Jahr-IF($L66="",Obj_Baujahr,$L66))</f>
        <v>-33.5</v>
      </c>
      <c r="Q66" s="18" t="n">
        <f aca="false">A_Jahr+MAX(0,$P66)</f>
        <v>2026</v>
      </c>
      <c r="R66" s="15" t="s">
        <v>601</v>
      </c>
      <c r="S66" s="18" t="str">
        <f aca="false">IF($R66="Automatik",IF($Q66&lt;=A_Jahr+A_Horizont,"JA","NEIN"),IF(OR($R66="Sofort",$R66="In Horizont"),"JA","NEIN"))</f>
        <v>JA</v>
      </c>
      <c r="T66" s="16" t="n">
        <v>0</v>
      </c>
      <c r="U66" s="20" t="n">
        <f aca="false">IF(AND($K66="Ja",$S66="JA"),$J66*(1-$T66),0)</f>
        <v>6640</v>
      </c>
      <c r="V66" s="30" t="str">
        <f aca="false">IF(AND($S66="NEIN",OR(AND(Obj_Zielstandard="EH 55 EE",$X66="Ja"),AND(Obj_Zielstandard="EH 40 EE",$Y66="Ja"))),"Pflicht bei Zielstandard, aber nicht aufgenommen","")</f>
        <v/>
      </c>
      <c r="W66" s="15"/>
      <c r="X66" s="26" t="str">
        <f aca="false">INDEX(02_Massnahmenkatalog!$J:$J,MATCH($B66,02_Massnahmenkatalog!$B:$B,0))</f>
        <v>Nein</v>
      </c>
      <c r="Y66" s="26" t="str">
        <f aca="false">INDEX(02_Massnahmenkatalog!$K:$K,MATCH($B66,02_Massnahmenkatalog!$B:$B,0))</f>
        <v>Nein</v>
      </c>
    </row>
    <row r="67" customFormat="false" ht="46.25" hidden="false" customHeight="false" outlineLevel="0" collapsed="false">
      <c r="B67" s="18" t="s">
        <v>293</v>
      </c>
      <c r="C67" s="26" t="str">
        <f aca="false">INDEX(02_Massnahmenkatalog!$C:$C,MATCH($B67,02_Massnahmenkatalog!$B:$B,0))</f>
        <v>Anlagentechnik</v>
      </c>
      <c r="D67" s="27" t="str">
        <f aca="false">INDEX(02_Massnahmenkatalog!$D:$D,MATCH($B67,02_Massnahmenkatalog!$B:$B,0))</f>
        <v>Hydraulischer Abgleich + Heizlastberechnung</v>
      </c>
      <c r="E67" s="26" t="str">
        <f aca="false">INDEX(02_Massnahmenkatalog!$E:$E,MATCH($B67,02_Massnahmenkatalog!$B:$B,0))</f>
        <v>€ pauschal</v>
      </c>
      <c r="F67" s="18" t="n">
        <f aca="false">1</f>
        <v>1</v>
      </c>
      <c r="G67" s="15"/>
      <c r="H67" s="18" t="n">
        <f aca="false">IF($G67="",$F67,$G67)</f>
        <v>1</v>
      </c>
      <c r="I67" s="28" t="n">
        <f aca="false">INDEX(02_Massnahmenkatalog!$F:$F,MATCH($B67,02_Massnahmenkatalog!$B:$B,0))</f>
        <v>1125</v>
      </c>
      <c r="J67" s="20" t="n">
        <f aca="false">$H67*$I67</f>
        <v>1125</v>
      </c>
      <c r="K67" s="26" t="str">
        <f aca="false">INDEX(02_Massnahmenkatalog!$H:$H,MATCH($B67,02_Massnahmenkatalog!$B:$B,0))</f>
        <v>Ja</v>
      </c>
      <c r="L67" s="15"/>
      <c r="M67" s="15" t="n">
        <v>3</v>
      </c>
      <c r="N67" s="26" t="n">
        <f aca="false">INDEX(02_Massnahmenkatalog!$G:$G,MATCH($B67,02_Massnahmenkatalog!$B:$B,0))</f>
        <v>0</v>
      </c>
      <c r="O67" s="29" t="n">
        <f aca="false">INDEX(04_Nutzungsdauern!$C:$C,MATCH($M67,04_Nutzungsdauern!$B:$B,0))</f>
        <v>0.7</v>
      </c>
      <c r="P67" s="18" t="n">
        <f aca="false">$N67*$O67-(A_Jahr-IF($L67="",Obj_Baujahr,$L67))</f>
        <v>-58</v>
      </c>
      <c r="Q67" s="18" t="n">
        <f aca="false">A_Jahr+MAX(0,$P67)</f>
        <v>2026</v>
      </c>
      <c r="R67" s="15" t="s">
        <v>601</v>
      </c>
      <c r="S67" s="18" t="str">
        <f aca="false">IF($R67="Automatik",IF($Q67&lt;=A_Jahr+A_Horizont,"JA","NEIN"),IF(OR($R67="Sofort",$R67="In Horizont"),"JA","NEIN"))</f>
        <v>JA</v>
      </c>
      <c r="T67" s="16" t="n">
        <v>0</v>
      </c>
      <c r="U67" s="20" t="n">
        <f aca="false">IF(AND($K67="Ja",$S67="JA"),$J67*(1-$T67),0)</f>
        <v>1125</v>
      </c>
      <c r="V67" s="30" t="str">
        <f aca="false">IF(AND($S67="NEIN",OR(AND(Obj_Zielstandard="EH 55 EE",$X67="Ja"),AND(Obj_Zielstandard="EH 40 EE",$Y67="Ja"))),"Pflicht bei Zielstandard, aber nicht aufgenommen","")</f>
        <v/>
      </c>
      <c r="W67" s="15"/>
      <c r="X67" s="26" t="str">
        <f aca="false">INDEX(02_Massnahmenkatalog!$J:$J,MATCH($B67,02_Massnahmenkatalog!$B:$B,0))</f>
        <v>Ja</v>
      </c>
      <c r="Y67" s="26" t="str">
        <f aca="false">INDEX(02_Massnahmenkatalog!$K:$K,MATCH($B67,02_Massnahmenkatalog!$B:$B,0))</f>
        <v>Ja</v>
      </c>
    </row>
    <row r="68" customFormat="false" ht="57.45" hidden="false" customHeight="false" outlineLevel="0" collapsed="false">
      <c r="B68" s="18" t="s">
        <v>297</v>
      </c>
      <c r="C68" s="26" t="str">
        <f aca="false">INDEX(02_Massnahmenkatalog!$C:$C,MATCH($B68,02_Massnahmenkatalog!$B:$B,0))</f>
        <v>Anlagentechnik</v>
      </c>
      <c r="D68" s="27" t="str">
        <f aca="false">INDEX(02_Massnahmenkatalog!$D:$D,MATCH($B68,02_Massnahmenkatalog!$B:$B,0))</f>
        <v>Zentrale Lüftungsanlage mit WRG inkl. Kanalnetz</v>
      </c>
      <c r="E68" s="26" t="str">
        <f aca="false">INDEX(02_Massnahmenkatalog!$E:$E,MATCH($B68,02_Massnahmenkatalog!$B:$B,0))</f>
        <v>€/m² WF</v>
      </c>
      <c r="F68" s="18" t="n">
        <f aca="false">Obj_Wohnflaeche</f>
        <v>122</v>
      </c>
      <c r="G68" s="15"/>
      <c r="H68" s="18" t="n">
        <f aca="false">IF($G68="",$F68,$G68)</f>
        <v>122</v>
      </c>
      <c r="I68" s="28" t="n">
        <f aca="false">INDEX(02_Massnahmenkatalog!$F:$F,MATCH($B68,02_Massnahmenkatalog!$B:$B,0))</f>
        <v>111</v>
      </c>
      <c r="J68" s="20" t="n">
        <f aca="false">$H68*$I68</f>
        <v>13542</v>
      </c>
      <c r="K68" s="26" t="str">
        <f aca="false">INDEX(02_Massnahmenkatalog!$H:$H,MATCH($B68,02_Massnahmenkatalog!$B:$B,0))</f>
        <v>Ja</v>
      </c>
      <c r="L68" s="15"/>
      <c r="M68" s="15" t="n">
        <v>3</v>
      </c>
      <c r="N68" s="26" t="n">
        <f aca="false">INDEX(02_Massnahmenkatalog!$G:$G,MATCH($B68,02_Massnahmenkatalog!$B:$B,0))</f>
        <v>25</v>
      </c>
      <c r="O68" s="29" t="n">
        <f aca="false">INDEX(04_Nutzungsdauern!$C:$C,MATCH($M68,04_Nutzungsdauern!$B:$B,0))</f>
        <v>0.7</v>
      </c>
      <c r="P68" s="18" t="n">
        <f aca="false">$N68*$O68-(A_Jahr-IF($L68="",Obj_Baujahr,$L68))</f>
        <v>-40.5</v>
      </c>
      <c r="Q68" s="18" t="n">
        <f aca="false">A_Jahr+MAX(0,$P68)</f>
        <v>2026</v>
      </c>
      <c r="R68" s="15" t="s">
        <v>601</v>
      </c>
      <c r="S68" s="18" t="str">
        <f aca="false">IF($R68="Automatik",IF($Q68&lt;=A_Jahr+A_Horizont,"JA","NEIN"),IF(OR($R68="Sofort",$R68="In Horizont"),"JA","NEIN"))</f>
        <v>JA</v>
      </c>
      <c r="T68" s="16" t="n">
        <v>0</v>
      </c>
      <c r="U68" s="20" t="n">
        <f aca="false">IF(AND($K68="Ja",$S68="JA"),$J68*(1-$T68),0)</f>
        <v>13542</v>
      </c>
      <c r="V68" s="30" t="str">
        <f aca="false">IF(AND($S68="NEIN",OR(AND(Obj_Zielstandard="EH 55 EE",$X68="Ja"),AND(Obj_Zielstandard="EH 40 EE",$Y68="Ja"))),"Pflicht bei Zielstandard, aber nicht aufgenommen","")</f>
        <v/>
      </c>
      <c r="W68" s="15"/>
      <c r="X68" s="26" t="str">
        <f aca="false">INDEX(02_Massnahmenkatalog!$J:$J,MATCH($B68,02_Massnahmenkatalog!$B:$B,0))</f>
        <v>Ja</v>
      </c>
      <c r="Y68" s="26" t="str">
        <f aca="false">INDEX(02_Massnahmenkatalog!$K:$K,MATCH($B68,02_Massnahmenkatalog!$B:$B,0))</f>
        <v>Ja</v>
      </c>
    </row>
    <row r="69" customFormat="false" ht="35.05" hidden="false" customHeight="false" outlineLevel="0" collapsed="false">
      <c r="B69" s="18" t="s">
        <v>300</v>
      </c>
      <c r="C69" s="26" t="str">
        <f aca="false">INDEX(02_Massnahmenkatalog!$C:$C,MATCH($B69,02_Massnahmenkatalog!$B:$B,0))</f>
        <v>Anlagentechnik</v>
      </c>
      <c r="D69" s="27" t="str">
        <f aca="false">INDEX(02_Massnahmenkatalog!$D:$D,MATCH($B69,02_Massnahmenkatalog!$B:$B,0))</f>
        <v>Trinkwasserinstallation komplett neu</v>
      </c>
      <c r="E69" s="26" t="str">
        <f aca="false">INDEX(02_Massnahmenkatalog!$E:$E,MATCH($B69,02_Massnahmenkatalog!$B:$B,0))</f>
        <v>€ pauschal</v>
      </c>
      <c r="F69" s="18" t="n">
        <f aca="false">1</f>
        <v>1</v>
      </c>
      <c r="G69" s="15"/>
      <c r="H69" s="18" t="n">
        <f aca="false">IF($G69="",$F69,$G69)</f>
        <v>1</v>
      </c>
      <c r="I69" s="28" t="n">
        <f aca="false">INDEX(02_Massnahmenkatalog!$F:$F,MATCH($B69,02_Massnahmenkatalog!$B:$B,0))</f>
        <v>3500</v>
      </c>
      <c r="J69" s="20" t="n">
        <f aca="false">$H69*$I69</f>
        <v>3500</v>
      </c>
      <c r="K69" s="26" t="str">
        <f aca="false">INDEX(02_Massnahmenkatalog!$H:$H,MATCH($B69,02_Massnahmenkatalog!$B:$B,0))</f>
        <v>Nein</v>
      </c>
      <c r="L69" s="15"/>
      <c r="M69" s="15" t="n">
        <v>3</v>
      </c>
      <c r="N69" s="26" t="n">
        <f aca="false">INDEX(02_Massnahmenkatalog!$G:$G,MATCH($B69,02_Massnahmenkatalog!$B:$B,0))</f>
        <v>39</v>
      </c>
      <c r="O69" s="29" t="n">
        <f aca="false">INDEX(04_Nutzungsdauern!$C:$C,MATCH($M69,04_Nutzungsdauern!$B:$B,0))</f>
        <v>0.7</v>
      </c>
      <c r="P69" s="18" t="n">
        <f aca="false">$N69*$O69-(A_Jahr-IF($L69="",Obj_Baujahr,$L69))</f>
        <v>-30.7</v>
      </c>
      <c r="Q69" s="18" t="n">
        <f aca="false">A_Jahr+MAX(0,$P69)</f>
        <v>2026</v>
      </c>
      <c r="R69" s="15" t="s">
        <v>601</v>
      </c>
      <c r="S69" s="18" t="str">
        <f aca="false">IF($R69="Automatik",IF($Q69&lt;=A_Jahr+A_Horizont,"JA","NEIN"),IF(OR($R69="Sofort",$R69="In Horizont"),"JA","NEIN"))</f>
        <v>JA</v>
      </c>
      <c r="T69" s="16" t="n">
        <v>0</v>
      </c>
      <c r="U69" s="20" t="n">
        <f aca="false">IF(AND($K69="Ja",$S69="JA"),$J69*(1-$T69),0)</f>
        <v>0</v>
      </c>
      <c r="V69" s="30" t="str">
        <f aca="false">IF(AND($S69="NEIN",OR(AND(Obj_Zielstandard="EH 55 EE",$X69="Ja"),AND(Obj_Zielstandard="EH 40 EE",$Y69="Ja"))),"Pflicht bei Zielstandard, aber nicht aufgenommen","")</f>
        <v/>
      </c>
      <c r="W69" s="15"/>
      <c r="X69" s="26" t="str">
        <f aca="false">INDEX(02_Massnahmenkatalog!$J:$J,MATCH($B69,02_Massnahmenkatalog!$B:$B,0))</f>
        <v>Nein</v>
      </c>
      <c r="Y69" s="26" t="str">
        <f aca="false">INDEX(02_Massnahmenkatalog!$K:$K,MATCH($B69,02_Massnahmenkatalog!$B:$B,0))</f>
        <v>Nein</v>
      </c>
    </row>
    <row r="70" customFormat="false" ht="35.05" hidden="false" customHeight="false" outlineLevel="0" collapsed="false">
      <c r="B70" s="18" t="s">
        <v>303</v>
      </c>
      <c r="C70" s="26" t="str">
        <f aca="false">INDEX(02_Massnahmenkatalog!$C:$C,MATCH($B70,02_Massnahmenkatalog!$B:$B,0))</f>
        <v>Anlagentechnik</v>
      </c>
      <c r="D70" s="27" t="str">
        <f aca="false">INDEX(02_Massnahmenkatalog!$D:$D,MATCH($B70,02_Massnahmenkatalog!$B:$B,0))</f>
        <v>Abwasserleitungen im Haus erneuern</v>
      </c>
      <c r="E70" s="26" t="str">
        <f aca="false">INDEX(02_Massnahmenkatalog!$E:$E,MATCH($B70,02_Massnahmenkatalog!$B:$B,0))</f>
        <v>€ pauschal</v>
      </c>
      <c r="F70" s="18" t="n">
        <f aca="false">1</f>
        <v>1</v>
      </c>
      <c r="G70" s="15"/>
      <c r="H70" s="18" t="n">
        <f aca="false">IF($G70="",$F70,$G70)</f>
        <v>1</v>
      </c>
      <c r="I70" s="28" t="n">
        <f aca="false">INDEX(02_Massnahmenkatalog!$F:$F,MATCH($B70,02_Massnahmenkatalog!$B:$B,0))</f>
        <v>2700</v>
      </c>
      <c r="J70" s="20" t="n">
        <f aca="false">$H70*$I70</f>
        <v>2700</v>
      </c>
      <c r="K70" s="26" t="str">
        <f aca="false">INDEX(02_Massnahmenkatalog!$H:$H,MATCH($B70,02_Massnahmenkatalog!$B:$B,0))</f>
        <v>Nein</v>
      </c>
      <c r="L70" s="15"/>
      <c r="M70" s="15" t="n">
        <v>3</v>
      </c>
      <c r="N70" s="26" t="n">
        <f aca="false">INDEX(02_Massnahmenkatalog!$G:$G,MATCH($B70,02_Massnahmenkatalog!$B:$B,0))</f>
        <v>40</v>
      </c>
      <c r="O70" s="29" t="n">
        <f aca="false">INDEX(04_Nutzungsdauern!$C:$C,MATCH($M70,04_Nutzungsdauern!$B:$B,0))</f>
        <v>0.7</v>
      </c>
      <c r="P70" s="18" t="n">
        <f aca="false">$N70*$O70-(A_Jahr-IF($L70="",Obj_Baujahr,$L70))</f>
        <v>-30</v>
      </c>
      <c r="Q70" s="18" t="n">
        <f aca="false">A_Jahr+MAX(0,$P70)</f>
        <v>2026</v>
      </c>
      <c r="R70" s="15" t="s">
        <v>601</v>
      </c>
      <c r="S70" s="18" t="str">
        <f aca="false">IF($R70="Automatik",IF($Q70&lt;=A_Jahr+A_Horizont,"JA","NEIN"),IF(OR($R70="Sofort",$R70="In Horizont"),"JA","NEIN"))</f>
        <v>JA</v>
      </c>
      <c r="T70" s="16" t="n">
        <v>0</v>
      </c>
      <c r="U70" s="20" t="n">
        <f aca="false">IF(AND($K70="Ja",$S70="JA"),$J70*(1-$T70),0)</f>
        <v>0</v>
      </c>
      <c r="V70" s="30" t="str">
        <f aca="false">IF(AND($S70="NEIN",OR(AND(Obj_Zielstandard="EH 55 EE",$X70="Ja"),AND(Obj_Zielstandard="EH 40 EE",$Y70="Ja"))),"Pflicht bei Zielstandard, aber nicht aufgenommen","")</f>
        <v/>
      </c>
      <c r="W70" s="15"/>
      <c r="X70" s="26" t="str">
        <f aca="false">INDEX(02_Massnahmenkatalog!$J:$J,MATCH($B70,02_Massnahmenkatalog!$B:$B,0))</f>
        <v>Nein</v>
      </c>
      <c r="Y70" s="26" t="str">
        <f aca="false">INDEX(02_Massnahmenkatalog!$K:$K,MATCH($B70,02_Massnahmenkatalog!$B:$B,0))</f>
        <v>Nein</v>
      </c>
    </row>
    <row r="71" customFormat="false" ht="46.25" hidden="false" customHeight="false" outlineLevel="0" collapsed="false">
      <c r="B71" s="18" t="s">
        <v>306</v>
      </c>
      <c r="C71" s="26" t="str">
        <f aca="false">INDEX(02_Massnahmenkatalog!$C:$C,MATCH($B71,02_Massnahmenkatalog!$B:$B,0))</f>
        <v>Elektro/Innenausbau</v>
      </c>
      <c r="D71" s="27" t="str">
        <f aca="false">INDEX(02_Massnahmenkatalog!$D:$D,MATCH($B71,02_Massnahmenkatalog!$B:$B,0))</f>
        <v>Elektroinstallation komplett neu inkl. Zählerschrank</v>
      </c>
      <c r="E71" s="26" t="str">
        <f aca="false">INDEX(02_Massnahmenkatalog!$E:$E,MATCH($B71,02_Massnahmenkatalog!$B:$B,0))</f>
        <v>€/m² WF</v>
      </c>
      <c r="F71" s="18" t="n">
        <f aca="false">Obj_Wohnflaeche</f>
        <v>122</v>
      </c>
      <c r="G71" s="15"/>
      <c r="H71" s="18" t="n">
        <f aca="false">IF($G71="",$F71,$G71)</f>
        <v>122</v>
      </c>
      <c r="I71" s="28" t="n">
        <f aca="false">INDEX(02_Massnahmenkatalog!$F:$F,MATCH($B71,02_Massnahmenkatalog!$B:$B,0))</f>
        <v>105</v>
      </c>
      <c r="J71" s="20" t="n">
        <f aca="false">$H71*$I71</f>
        <v>12810</v>
      </c>
      <c r="K71" s="26" t="str">
        <f aca="false">INDEX(02_Massnahmenkatalog!$H:$H,MATCH($B71,02_Massnahmenkatalog!$B:$B,0))</f>
        <v>Nein</v>
      </c>
      <c r="L71" s="15"/>
      <c r="M71" s="15" t="n">
        <v>3</v>
      </c>
      <c r="N71" s="26" t="n">
        <f aca="false">INDEX(02_Massnahmenkatalog!$G:$G,MATCH($B71,02_Massnahmenkatalog!$B:$B,0))</f>
        <v>40</v>
      </c>
      <c r="O71" s="29" t="n">
        <f aca="false">INDEX(04_Nutzungsdauern!$C:$C,MATCH($M71,04_Nutzungsdauern!$B:$B,0))</f>
        <v>0.7</v>
      </c>
      <c r="P71" s="18" t="n">
        <f aca="false">$N71*$O71-(A_Jahr-IF($L71="",Obj_Baujahr,$L71))</f>
        <v>-30</v>
      </c>
      <c r="Q71" s="18" t="n">
        <f aca="false">A_Jahr+MAX(0,$P71)</f>
        <v>2026</v>
      </c>
      <c r="R71" s="15" t="s">
        <v>601</v>
      </c>
      <c r="S71" s="18" t="str">
        <f aca="false">IF($R71="Automatik",IF($Q71&lt;=A_Jahr+A_Horizont,"JA","NEIN"),IF(OR($R71="Sofort",$R71="In Horizont"),"JA","NEIN"))</f>
        <v>JA</v>
      </c>
      <c r="T71" s="16" t="n">
        <v>0</v>
      </c>
      <c r="U71" s="20" t="n">
        <f aca="false">IF(AND($K71="Ja",$S71="JA"),$J71*(1-$T71),0)</f>
        <v>0</v>
      </c>
      <c r="V71" s="30" t="str">
        <f aca="false">IF(AND($S71="NEIN",OR(AND(Obj_Zielstandard="EH 55 EE",$X71="Ja"),AND(Obj_Zielstandard="EH 40 EE",$Y71="Ja"))),"Pflicht bei Zielstandard, aber nicht aufgenommen","")</f>
        <v/>
      </c>
      <c r="W71" s="15"/>
      <c r="X71" s="26" t="str">
        <f aca="false">INDEX(02_Massnahmenkatalog!$J:$J,MATCH($B71,02_Massnahmenkatalog!$B:$B,0))</f>
        <v>Nein</v>
      </c>
      <c r="Y71" s="26" t="str">
        <f aca="false">INDEX(02_Massnahmenkatalog!$K:$K,MATCH($B71,02_Massnahmenkatalog!$B:$B,0))</f>
        <v>Nein</v>
      </c>
    </row>
    <row r="72" customFormat="false" ht="46.25" hidden="false" customHeight="false" outlineLevel="0" collapsed="false">
      <c r="B72" s="18" t="s">
        <v>309</v>
      </c>
      <c r="C72" s="26" t="str">
        <f aca="false">INDEX(02_Massnahmenkatalog!$C:$C,MATCH($B72,02_Massnahmenkatalog!$B:$B,0))</f>
        <v>Elektro/Innenausbau</v>
      </c>
      <c r="D72" s="27" t="str">
        <f aca="false">INDEX(02_Massnahmenkatalog!$D:$D,MATCH($B72,02_Massnahmenkatalog!$B:$B,0))</f>
        <v>Nur Zählerschrank/Unterverteilung erneuern</v>
      </c>
      <c r="E72" s="26" t="str">
        <f aca="false">INDEX(02_Massnahmenkatalog!$E:$E,MATCH($B72,02_Massnahmenkatalog!$B:$B,0))</f>
        <v>€ pauschal</v>
      </c>
      <c r="F72" s="18" t="n">
        <f aca="false">1</f>
        <v>1</v>
      </c>
      <c r="G72" s="15"/>
      <c r="H72" s="18" t="n">
        <f aca="false">IF($G72="",$F72,$G72)</f>
        <v>1</v>
      </c>
      <c r="I72" s="28" t="n">
        <f aca="false">INDEX(02_Massnahmenkatalog!$F:$F,MATCH($B72,02_Massnahmenkatalog!$B:$B,0))</f>
        <v>900</v>
      </c>
      <c r="J72" s="20" t="n">
        <f aca="false">$H72*$I72</f>
        <v>900</v>
      </c>
      <c r="K72" s="26" t="str">
        <f aca="false">INDEX(02_Massnahmenkatalog!$H:$H,MATCH($B72,02_Massnahmenkatalog!$B:$B,0))</f>
        <v>Nein</v>
      </c>
      <c r="L72" s="15"/>
      <c r="M72" s="15" t="n">
        <v>3</v>
      </c>
      <c r="N72" s="26" t="n">
        <f aca="false">INDEX(02_Massnahmenkatalog!$G:$G,MATCH($B72,02_Massnahmenkatalog!$B:$B,0))</f>
        <v>40</v>
      </c>
      <c r="O72" s="29" t="n">
        <f aca="false">INDEX(04_Nutzungsdauern!$C:$C,MATCH($M72,04_Nutzungsdauern!$B:$B,0))</f>
        <v>0.7</v>
      </c>
      <c r="P72" s="18" t="n">
        <f aca="false">$N72*$O72-(A_Jahr-IF($L72="",Obj_Baujahr,$L72))</f>
        <v>-30</v>
      </c>
      <c r="Q72" s="18" t="n">
        <f aca="false">A_Jahr+MAX(0,$P72)</f>
        <v>2026</v>
      </c>
      <c r="R72" s="15" t="s">
        <v>601</v>
      </c>
      <c r="S72" s="18" t="str">
        <f aca="false">IF($R72="Automatik",IF($Q72&lt;=A_Jahr+A_Horizont,"JA","NEIN"),IF(OR($R72="Sofort",$R72="In Horizont"),"JA","NEIN"))</f>
        <v>JA</v>
      </c>
      <c r="T72" s="16" t="n">
        <v>0</v>
      </c>
      <c r="U72" s="20" t="n">
        <f aca="false">IF(AND($K72="Ja",$S72="JA"),$J72*(1-$T72),0)</f>
        <v>0</v>
      </c>
      <c r="V72" s="30" t="str">
        <f aca="false">IF(AND($S72="NEIN",OR(AND(Obj_Zielstandard="EH 55 EE",$X72="Ja"),AND(Obj_Zielstandard="EH 40 EE",$Y72="Ja"))),"Pflicht bei Zielstandard, aber nicht aufgenommen","")</f>
        <v/>
      </c>
      <c r="W72" s="15"/>
      <c r="X72" s="26" t="str">
        <f aca="false">INDEX(02_Massnahmenkatalog!$J:$J,MATCH($B72,02_Massnahmenkatalog!$B:$B,0))</f>
        <v>Nein</v>
      </c>
      <c r="Y72" s="26" t="str">
        <f aca="false">INDEX(02_Massnahmenkatalog!$K:$K,MATCH($B72,02_Massnahmenkatalog!$B:$B,0))</f>
        <v>Nein</v>
      </c>
    </row>
    <row r="73" customFormat="false" ht="35.05" hidden="false" customHeight="false" outlineLevel="0" collapsed="false">
      <c r="B73" s="18" t="s">
        <v>312</v>
      </c>
      <c r="C73" s="26" t="str">
        <f aca="false">INDEX(02_Massnahmenkatalog!$C:$C,MATCH($B73,02_Massnahmenkatalog!$B:$B,0))</f>
        <v>Elektro/Innenausbau</v>
      </c>
      <c r="D73" s="27" t="str">
        <f aca="false">INDEX(02_Massnahmenkatalog!$D:$D,MATCH($B73,02_Massnahmenkatalog!$B:$B,0))</f>
        <v>Badsanierung komplett, Standard</v>
      </c>
      <c r="E73" s="26" t="str">
        <f aca="false">INDEX(02_Massnahmenkatalog!$E:$E,MATCH($B73,02_Massnahmenkatalog!$B:$B,0))</f>
        <v>€/Bad</v>
      </c>
      <c r="F73" s="18" t="n">
        <f aca="false">Obj_AnzBaeder</f>
        <v>1</v>
      </c>
      <c r="G73" s="15"/>
      <c r="H73" s="18" t="n">
        <f aca="false">IF($G73="",$F73,$G73)</f>
        <v>1</v>
      </c>
      <c r="I73" s="28" t="n">
        <f aca="false">INDEX(02_Massnahmenkatalog!$F:$F,MATCH($B73,02_Massnahmenkatalog!$B:$B,0))</f>
        <v>15000</v>
      </c>
      <c r="J73" s="20" t="n">
        <f aca="false">$H73*$I73</f>
        <v>15000</v>
      </c>
      <c r="K73" s="26" t="str">
        <f aca="false">INDEX(02_Massnahmenkatalog!$H:$H,MATCH($B73,02_Massnahmenkatalog!$B:$B,0))</f>
        <v>Nein</v>
      </c>
      <c r="L73" s="15"/>
      <c r="M73" s="15" t="n">
        <v>3</v>
      </c>
      <c r="N73" s="26" t="n">
        <f aca="false">INDEX(02_Massnahmenkatalog!$G:$G,MATCH($B73,02_Massnahmenkatalog!$B:$B,0))</f>
        <v>32</v>
      </c>
      <c r="O73" s="29" t="n">
        <f aca="false">INDEX(04_Nutzungsdauern!$C:$C,MATCH($M73,04_Nutzungsdauern!$B:$B,0))</f>
        <v>0.7</v>
      </c>
      <c r="P73" s="18" t="n">
        <f aca="false">$N73*$O73-(A_Jahr-IF($L73="",Obj_Baujahr,$L73))</f>
        <v>-35.6</v>
      </c>
      <c r="Q73" s="18" t="n">
        <f aca="false">A_Jahr+MAX(0,$P73)</f>
        <v>2026</v>
      </c>
      <c r="R73" s="15" t="s">
        <v>601</v>
      </c>
      <c r="S73" s="18" t="str">
        <f aca="false">IF($R73="Automatik",IF($Q73&lt;=A_Jahr+A_Horizont,"JA","NEIN"),IF(OR($R73="Sofort",$R73="In Horizont"),"JA","NEIN"))</f>
        <v>JA</v>
      </c>
      <c r="T73" s="16" t="n">
        <v>0</v>
      </c>
      <c r="U73" s="20" t="n">
        <f aca="false">IF(AND($K73="Ja",$S73="JA"),$J73*(1-$T73),0)</f>
        <v>0</v>
      </c>
      <c r="V73" s="30" t="str">
        <f aca="false">IF(AND($S73="NEIN",OR(AND(Obj_Zielstandard="EH 55 EE",$X73="Ja"),AND(Obj_Zielstandard="EH 40 EE",$Y73="Ja"))),"Pflicht bei Zielstandard, aber nicht aufgenommen","")</f>
        <v/>
      </c>
      <c r="W73" s="15"/>
      <c r="X73" s="26" t="str">
        <f aca="false">INDEX(02_Massnahmenkatalog!$J:$J,MATCH($B73,02_Massnahmenkatalog!$B:$B,0))</f>
        <v>Nein</v>
      </c>
      <c r="Y73" s="26" t="str">
        <f aca="false">INDEX(02_Massnahmenkatalog!$K:$K,MATCH($B73,02_Massnahmenkatalog!$B:$B,0))</f>
        <v>Nein</v>
      </c>
    </row>
    <row r="74" customFormat="false" ht="15" hidden="false" customHeight="false" outlineLevel="0" collapsed="false">
      <c r="B74" s="18" t="s">
        <v>316</v>
      </c>
      <c r="C74" s="26" t="str">
        <f aca="false">INDEX(02_Massnahmenkatalog!$C:$C,MATCH($B74,02_Massnahmenkatalog!$B:$B,0))</f>
        <v>Elektro/Innenausbau</v>
      </c>
      <c r="D74" s="27" t="str">
        <f aca="false">INDEX(02_Massnahmenkatalog!$D:$D,MATCH($B74,02_Massnahmenkatalog!$B:$B,0))</f>
        <v>Gäste-WC</v>
      </c>
      <c r="E74" s="26" t="str">
        <f aca="false">INDEX(02_Massnahmenkatalog!$E:$E,MATCH($B74,02_Massnahmenkatalog!$B:$B,0))</f>
        <v>€ pauschal</v>
      </c>
      <c r="F74" s="18" t="n">
        <f aca="false">1</f>
        <v>1</v>
      </c>
      <c r="G74" s="15"/>
      <c r="H74" s="18" t="n">
        <f aca="false">IF($G74="",$F74,$G74)</f>
        <v>1</v>
      </c>
      <c r="I74" s="28" t="n">
        <f aca="false">INDEX(02_Massnahmenkatalog!$F:$F,MATCH($B74,02_Massnahmenkatalog!$B:$B,0))</f>
        <v>6000</v>
      </c>
      <c r="J74" s="20" t="n">
        <f aca="false">$H74*$I74</f>
        <v>6000</v>
      </c>
      <c r="K74" s="26" t="str">
        <f aca="false">INDEX(02_Massnahmenkatalog!$H:$H,MATCH($B74,02_Massnahmenkatalog!$B:$B,0))</f>
        <v>Nein</v>
      </c>
      <c r="L74" s="15"/>
      <c r="M74" s="15" t="n">
        <v>3</v>
      </c>
      <c r="N74" s="26" t="n">
        <f aca="false">INDEX(02_Massnahmenkatalog!$G:$G,MATCH($B74,02_Massnahmenkatalog!$B:$B,0))</f>
        <v>32</v>
      </c>
      <c r="O74" s="29" t="n">
        <f aca="false">INDEX(04_Nutzungsdauern!$C:$C,MATCH($M74,04_Nutzungsdauern!$B:$B,0))</f>
        <v>0.7</v>
      </c>
      <c r="P74" s="18" t="n">
        <f aca="false">$N74*$O74-(A_Jahr-IF($L74="",Obj_Baujahr,$L74))</f>
        <v>-35.6</v>
      </c>
      <c r="Q74" s="18" t="n">
        <f aca="false">A_Jahr+MAX(0,$P74)</f>
        <v>2026</v>
      </c>
      <c r="R74" s="15" t="s">
        <v>601</v>
      </c>
      <c r="S74" s="18" t="str">
        <f aca="false">IF($R74="Automatik",IF($Q74&lt;=A_Jahr+A_Horizont,"JA","NEIN"),IF(OR($R74="Sofort",$R74="In Horizont"),"JA","NEIN"))</f>
        <v>JA</v>
      </c>
      <c r="T74" s="16" t="n">
        <v>0</v>
      </c>
      <c r="U74" s="20" t="n">
        <f aca="false">IF(AND($K74="Ja",$S74="JA"),$J74*(1-$T74),0)</f>
        <v>0</v>
      </c>
      <c r="V74" s="30" t="str">
        <f aca="false">IF(AND($S74="NEIN",OR(AND(Obj_Zielstandard="EH 55 EE",$X74="Ja"),AND(Obj_Zielstandard="EH 40 EE",$Y74="Ja"))),"Pflicht bei Zielstandard, aber nicht aufgenommen","")</f>
        <v/>
      </c>
      <c r="W74" s="15"/>
      <c r="X74" s="26" t="str">
        <f aca="false">INDEX(02_Massnahmenkatalog!$J:$J,MATCH($B74,02_Massnahmenkatalog!$B:$B,0))</f>
        <v>Nein</v>
      </c>
      <c r="Y74" s="26" t="str">
        <f aca="false">INDEX(02_Massnahmenkatalog!$K:$K,MATCH($B74,02_Massnahmenkatalog!$B:$B,0))</f>
        <v>Nein</v>
      </c>
    </row>
    <row r="75" customFormat="false" ht="23.85" hidden="false" customHeight="false" outlineLevel="0" collapsed="false">
      <c r="B75" s="18" t="s">
        <v>319</v>
      </c>
      <c r="C75" s="26" t="str">
        <f aca="false">INDEX(02_Massnahmenkatalog!$C:$C,MATCH($B75,02_Massnahmenkatalog!$B:$B,0))</f>
        <v>Elektro/Innenausbau</v>
      </c>
      <c r="D75" s="27" t="str">
        <f aca="false">INDEX(02_Massnahmenkatalog!$D:$D,MATCH($B75,02_Massnahmenkatalog!$B:$B,0))</f>
        <v>Innenputz/Malerarbeiten</v>
      </c>
      <c r="E75" s="26" t="str">
        <f aca="false">INDEX(02_Massnahmenkatalog!$E:$E,MATCH($B75,02_Massnahmenkatalog!$B:$B,0))</f>
        <v>€/m² Wandfläche</v>
      </c>
      <c r="F75" s="18" t="n">
        <f aca="false">Obj_Fassadenflaeche*2</f>
        <v>262.658684988713</v>
      </c>
      <c r="G75" s="15"/>
      <c r="H75" s="18" t="n">
        <f aca="false">IF($G75="",$F75,$G75)</f>
        <v>262.658684988713</v>
      </c>
      <c r="I75" s="28" t="n">
        <f aca="false">INDEX(02_Massnahmenkatalog!$F:$F,MATCH($B75,02_Massnahmenkatalog!$B:$B,0))</f>
        <v>45</v>
      </c>
      <c r="J75" s="20" t="n">
        <f aca="false">$H75*$I75</f>
        <v>11819.6408244921</v>
      </c>
      <c r="K75" s="26" t="str">
        <f aca="false">INDEX(02_Massnahmenkatalog!$H:$H,MATCH($B75,02_Massnahmenkatalog!$B:$B,0))</f>
        <v>Nein</v>
      </c>
      <c r="L75" s="15"/>
      <c r="M75" s="15" t="n">
        <v>3</v>
      </c>
      <c r="N75" s="26" t="n">
        <f aca="false">INDEX(02_Massnahmenkatalog!$G:$G,MATCH($B75,02_Massnahmenkatalog!$B:$B,0))</f>
        <v>20</v>
      </c>
      <c r="O75" s="29" t="n">
        <f aca="false">INDEX(04_Nutzungsdauern!$C:$C,MATCH($M75,04_Nutzungsdauern!$B:$B,0))</f>
        <v>0.7</v>
      </c>
      <c r="P75" s="18" t="n">
        <f aca="false">$N75*$O75-(A_Jahr-IF($L75="",Obj_Baujahr,$L75))</f>
        <v>-44</v>
      </c>
      <c r="Q75" s="18" t="n">
        <f aca="false">A_Jahr+MAX(0,$P75)</f>
        <v>2026</v>
      </c>
      <c r="R75" s="15" t="s">
        <v>601</v>
      </c>
      <c r="S75" s="18" t="str">
        <f aca="false">IF($R75="Automatik",IF($Q75&lt;=A_Jahr+A_Horizont,"JA","NEIN"),IF(OR($R75="Sofort",$R75="In Horizont"),"JA","NEIN"))</f>
        <v>JA</v>
      </c>
      <c r="T75" s="16" t="n">
        <v>0</v>
      </c>
      <c r="U75" s="20" t="n">
        <f aca="false">IF(AND($K75="Ja",$S75="JA"),$J75*(1-$T75),0)</f>
        <v>0</v>
      </c>
      <c r="V75" s="30" t="str">
        <f aca="false">IF(AND($S75="NEIN",OR(AND(Obj_Zielstandard="EH 55 EE",$X75="Ja"),AND(Obj_Zielstandard="EH 40 EE",$Y75="Ja"))),"Pflicht bei Zielstandard, aber nicht aufgenommen","")</f>
        <v/>
      </c>
      <c r="W75" s="15"/>
      <c r="X75" s="26" t="str">
        <f aca="false">INDEX(02_Massnahmenkatalog!$J:$J,MATCH($B75,02_Massnahmenkatalog!$B:$B,0))</f>
        <v>Nein</v>
      </c>
      <c r="Y75" s="26" t="str">
        <f aca="false">INDEX(02_Massnahmenkatalog!$K:$K,MATCH($B75,02_Massnahmenkatalog!$B:$B,0))</f>
        <v>Nein</v>
      </c>
    </row>
    <row r="76" customFormat="false" ht="23.85" hidden="false" customHeight="false" outlineLevel="0" collapsed="false">
      <c r="B76" s="18" t="s">
        <v>322</v>
      </c>
      <c r="C76" s="26" t="str">
        <f aca="false">INDEX(02_Massnahmenkatalog!$C:$C,MATCH($B76,02_Massnahmenkatalog!$B:$B,0))</f>
        <v>Elektro/Innenausbau</v>
      </c>
      <c r="D76" s="27" t="str">
        <f aca="false">INDEX(02_Massnahmenkatalog!$D:$D,MATCH($B76,02_Massnahmenkatalog!$B:$B,0))</f>
        <v>Innentüren ersetzen</v>
      </c>
      <c r="E76" s="26" t="str">
        <f aca="false">INDEX(02_Massnahmenkatalog!$E:$E,MATCH($B76,02_Massnahmenkatalog!$B:$B,0))</f>
        <v>€/Stück</v>
      </c>
      <c r="F76" s="18" t="n">
        <f aca="false">Obj_AnzTueren</f>
        <v>6</v>
      </c>
      <c r="G76" s="15"/>
      <c r="H76" s="18" t="n">
        <f aca="false">IF($G76="",$F76,$G76)</f>
        <v>6</v>
      </c>
      <c r="I76" s="28" t="n">
        <f aca="false">INDEX(02_Massnahmenkatalog!$F:$F,MATCH($B76,02_Massnahmenkatalog!$B:$B,0))</f>
        <v>600</v>
      </c>
      <c r="J76" s="20" t="n">
        <f aca="false">$H76*$I76</f>
        <v>3600</v>
      </c>
      <c r="K76" s="26" t="str">
        <f aca="false">INDEX(02_Massnahmenkatalog!$H:$H,MATCH($B76,02_Massnahmenkatalog!$B:$B,0))</f>
        <v>Nein</v>
      </c>
      <c r="L76" s="15"/>
      <c r="M76" s="15" t="n">
        <v>3</v>
      </c>
      <c r="N76" s="26" t="n">
        <f aca="false">INDEX(02_Massnahmenkatalog!$G:$G,MATCH($B76,02_Massnahmenkatalog!$B:$B,0))</f>
        <v>55</v>
      </c>
      <c r="O76" s="29" t="n">
        <f aca="false">INDEX(04_Nutzungsdauern!$C:$C,MATCH($M76,04_Nutzungsdauern!$B:$B,0))</f>
        <v>0.7</v>
      </c>
      <c r="P76" s="18" t="n">
        <f aca="false">$N76*$O76-(A_Jahr-IF($L76="",Obj_Baujahr,$L76))</f>
        <v>-19.5</v>
      </c>
      <c r="Q76" s="18" t="n">
        <f aca="false">A_Jahr+MAX(0,$P76)</f>
        <v>2026</v>
      </c>
      <c r="R76" s="15" t="s">
        <v>601</v>
      </c>
      <c r="S76" s="18" t="str">
        <f aca="false">IF($R76="Automatik",IF($Q76&lt;=A_Jahr+A_Horizont,"JA","NEIN"),IF(OR($R76="Sofort",$R76="In Horizont"),"JA","NEIN"))</f>
        <v>JA</v>
      </c>
      <c r="T76" s="16" t="n">
        <v>0</v>
      </c>
      <c r="U76" s="20" t="n">
        <f aca="false">IF(AND($K76="Ja",$S76="JA"),$J76*(1-$T76),0)</f>
        <v>0</v>
      </c>
      <c r="V76" s="30" t="str">
        <f aca="false">IF(AND($S76="NEIN",OR(AND(Obj_Zielstandard="EH 55 EE",$X76="Ja"),AND(Obj_Zielstandard="EH 40 EE",$Y76="Ja"))),"Pflicht bei Zielstandard, aber nicht aufgenommen","")</f>
        <v/>
      </c>
      <c r="W76" s="15"/>
      <c r="X76" s="26" t="str">
        <f aca="false">INDEX(02_Massnahmenkatalog!$J:$J,MATCH($B76,02_Massnahmenkatalog!$B:$B,0))</f>
        <v>Nein</v>
      </c>
      <c r="Y76" s="26" t="str">
        <f aca="false">INDEX(02_Massnahmenkatalog!$K:$K,MATCH($B76,02_Massnahmenkatalog!$B:$B,0))</f>
        <v>Nein</v>
      </c>
    </row>
    <row r="77" customFormat="false" ht="46.25" hidden="false" customHeight="false" outlineLevel="0" collapsed="false">
      <c r="B77" s="18" t="s">
        <v>324</v>
      </c>
      <c r="C77" s="26" t="str">
        <f aca="false">INDEX(02_Massnahmenkatalog!$C:$C,MATCH($B77,02_Massnahmenkatalog!$B:$B,0))</f>
        <v>Elektro/Innenausbau</v>
      </c>
      <c r="D77" s="27" t="str">
        <f aca="false">INDEX(02_Massnahmenkatalog!$D:$D,MATCH($B77,02_Massnahmenkatalog!$B:$B,0))</f>
        <v>Bodenbeläge (Mix Parkett/Fliese)</v>
      </c>
      <c r="E77" s="26" t="str">
        <f aca="false">INDEX(02_Massnahmenkatalog!$E:$E,MATCH($B77,02_Massnahmenkatalog!$B:$B,0))</f>
        <v>€/m² WF</v>
      </c>
      <c r="F77" s="18" t="n">
        <f aca="false">Obj_Wohnflaeche</f>
        <v>122</v>
      </c>
      <c r="G77" s="15"/>
      <c r="H77" s="18" t="n">
        <f aca="false">IF($G77="",$F77,$G77)</f>
        <v>122</v>
      </c>
      <c r="I77" s="28" t="n">
        <f aca="false">INDEX(02_Massnahmenkatalog!$F:$F,MATCH($B77,02_Massnahmenkatalog!$B:$B,0))</f>
        <v>120</v>
      </c>
      <c r="J77" s="20" t="n">
        <f aca="false">$H77*$I77</f>
        <v>14640</v>
      </c>
      <c r="K77" s="26" t="str">
        <f aca="false">INDEX(02_Massnahmenkatalog!$H:$H,MATCH($B77,02_Massnahmenkatalog!$B:$B,0))</f>
        <v>Nein</v>
      </c>
      <c r="L77" s="15"/>
      <c r="M77" s="15" t="n">
        <v>3</v>
      </c>
      <c r="N77" s="26" t="n">
        <f aca="false">INDEX(02_Massnahmenkatalog!$G:$G,MATCH($B77,02_Massnahmenkatalog!$B:$B,0))</f>
        <v>35</v>
      </c>
      <c r="O77" s="29" t="n">
        <f aca="false">INDEX(04_Nutzungsdauern!$C:$C,MATCH($M77,04_Nutzungsdauern!$B:$B,0))</f>
        <v>0.7</v>
      </c>
      <c r="P77" s="18" t="n">
        <f aca="false">$N77*$O77-(A_Jahr-IF($L77="",Obj_Baujahr,$L77))</f>
        <v>-33.5</v>
      </c>
      <c r="Q77" s="18" t="n">
        <f aca="false">A_Jahr+MAX(0,$P77)</f>
        <v>2026</v>
      </c>
      <c r="R77" s="15" t="s">
        <v>601</v>
      </c>
      <c r="S77" s="18" t="str">
        <f aca="false">IF($R77="Automatik",IF($Q77&lt;=A_Jahr+A_Horizont,"JA","NEIN"),IF(OR($R77="Sofort",$R77="In Horizont"),"JA","NEIN"))</f>
        <v>JA</v>
      </c>
      <c r="T77" s="16" t="n">
        <v>0</v>
      </c>
      <c r="U77" s="20" t="n">
        <f aca="false">IF(AND($K77="Ja",$S77="JA"),$J77*(1-$T77),0)</f>
        <v>0</v>
      </c>
      <c r="V77" s="30" t="str">
        <f aca="false">IF(AND($S77="NEIN",OR(AND(Obj_Zielstandard="EH 55 EE",$X77="Ja"),AND(Obj_Zielstandard="EH 40 EE",$Y77="Ja"))),"Pflicht bei Zielstandard, aber nicht aufgenommen","")</f>
        <v/>
      </c>
      <c r="W77" s="15"/>
      <c r="X77" s="26" t="str">
        <f aca="false">INDEX(02_Massnahmenkatalog!$J:$J,MATCH($B77,02_Massnahmenkatalog!$B:$B,0))</f>
        <v>Nein</v>
      </c>
      <c r="Y77" s="26" t="str">
        <f aca="false">INDEX(02_Massnahmenkatalog!$K:$K,MATCH($B77,02_Massnahmenkatalog!$B:$B,0))</f>
        <v>Nein</v>
      </c>
    </row>
    <row r="78" customFormat="false" ht="23.85" hidden="false" customHeight="false" outlineLevel="0" collapsed="false">
      <c r="B78" s="18" t="s">
        <v>327</v>
      </c>
      <c r="C78" s="26" t="str">
        <f aca="false">INDEX(02_Massnahmenkatalog!$C:$C,MATCH($B78,02_Massnahmenkatalog!$B:$B,0))</f>
        <v>Elektro/Innenausbau</v>
      </c>
      <c r="D78" s="27" t="str">
        <f aca="false">INDEX(02_Massnahmenkatalog!$D:$D,MATCH($B78,02_Massnahmenkatalog!$B:$B,0))</f>
        <v>Treppe erneuern</v>
      </c>
      <c r="E78" s="26" t="str">
        <f aca="false">INDEX(02_Massnahmenkatalog!$E:$E,MATCH($B78,02_Massnahmenkatalog!$B:$B,0))</f>
        <v>€ pauschal</v>
      </c>
      <c r="F78" s="18" t="n">
        <f aca="false">1</f>
        <v>1</v>
      </c>
      <c r="G78" s="15"/>
      <c r="H78" s="18" t="n">
        <f aca="false">IF($G78="",$F78,$G78)</f>
        <v>1</v>
      </c>
      <c r="I78" s="28" t="n">
        <f aca="false">INDEX(02_Massnahmenkatalog!$F:$F,MATCH($B78,02_Massnahmenkatalog!$B:$B,0))</f>
        <v>3200</v>
      </c>
      <c r="J78" s="20" t="n">
        <f aca="false">$H78*$I78</f>
        <v>3200</v>
      </c>
      <c r="K78" s="26" t="str">
        <f aca="false">INDEX(02_Massnahmenkatalog!$H:$H,MATCH($B78,02_Massnahmenkatalog!$B:$B,0))</f>
        <v>Nein</v>
      </c>
      <c r="L78" s="15"/>
      <c r="M78" s="15" t="n">
        <v>3</v>
      </c>
      <c r="N78" s="26" t="n">
        <f aca="false">INDEX(02_Massnahmenkatalog!$G:$G,MATCH($B78,02_Massnahmenkatalog!$B:$B,0))</f>
        <v>0</v>
      </c>
      <c r="O78" s="29" t="n">
        <f aca="false">INDEX(04_Nutzungsdauern!$C:$C,MATCH($M78,04_Nutzungsdauern!$B:$B,0))</f>
        <v>0.7</v>
      </c>
      <c r="P78" s="18" t="n">
        <f aca="false">$N78*$O78-(A_Jahr-IF($L78="",Obj_Baujahr,$L78))</f>
        <v>-58</v>
      </c>
      <c r="Q78" s="18" t="n">
        <f aca="false">A_Jahr+MAX(0,$P78)</f>
        <v>2026</v>
      </c>
      <c r="R78" s="15" t="s">
        <v>601</v>
      </c>
      <c r="S78" s="18" t="str">
        <f aca="false">IF($R78="Automatik",IF($Q78&lt;=A_Jahr+A_Horizont,"JA","NEIN"),IF(OR($R78="Sofort",$R78="In Horizont"),"JA","NEIN"))</f>
        <v>JA</v>
      </c>
      <c r="T78" s="16" t="n">
        <v>0</v>
      </c>
      <c r="U78" s="20" t="n">
        <f aca="false">IF(AND($K78="Ja",$S78="JA"),$J78*(1-$T78),0)</f>
        <v>0</v>
      </c>
      <c r="V78" s="30" t="str">
        <f aca="false">IF(AND($S78="NEIN",OR(AND(Obj_Zielstandard="EH 55 EE",$X78="Ja"),AND(Obj_Zielstandard="EH 40 EE",$Y78="Ja"))),"Pflicht bei Zielstandard, aber nicht aufgenommen","")</f>
        <v/>
      </c>
      <c r="W78" s="15"/>
      <c r="X78" s="26" t="str">
        <f aca="false">INDEX(02_Massnahmenkatalog!$J:$J,MATCH($B78,02_Massnahmenkatalog!$B:$B,0))</f>
        <v>Nein</v>
      </c>
      <c r="Y78" s="26" t="str">
        <f aca="false">INDEX(02_Massnahmenkatalog!$K:$K,MATCH($B78,02_Massnahmenkatalog!$B:$B,0))</f>
        <v>Nein</v>
      </c>
    </row>
    <row r="79" customFormat="false" ht="35.05" hidden="false" customHeight="false" outlineLevel="0" collapsed="false">
      <c r="B79" s="18" t="s">
        <v>330</v>
      </c>
      <c r="C79" s="26" t="str">
        <f aca="false">INDEX(02_Massnahmenkatalog!$C:$C,MATCH($B79,02_Massnahmenkatalog!$B:$B,0))</f>
        <v>Elektro/Innenausbau</v>
      </c>
      <c r="D79" s="27" t="str">
        <f aca="false">INDEX(02_Massnahmenkatalog!$D:$D,MATCH($B79,02_Massnahmenkatalog!$B:$B,0))</f>
        <v>Wanddurchbruch tragend inkl. Statiker</v>
      </c>
      <c r="E79" s="26" t="str">
        <f aca="false">INDEX(02_Massnahmenkatalog!$E:$E,MATCH($B79,02_Massnahmenkatalog!$B:$B,0))</f>
        <v>€/Stück</v>
      </c>
      <c r="F79" s="18" t="n">
        <f aca="false">0</f>
        <v>0</v>
      </c>
      <c r="G79" s="15"/>
      <c r="H79" s="18" t="n">
        <f aca="false">IF($G79="",$F79,$G79)</f>
        <v>0</v>
      </c>
      <c r="I79" s="28" t="n">
        <f aca="false">INDEX(02_Massnahmenkatalog!$F:$F,MATCH($B79,02_Massnahmenkatalog!$B:$B,0))</f>
        <v>2900</v>
      </c>
      <c r="J79" s="20" t="n">
        <f aca="false">$H79*$I79</f>
        <v>0</v>
      </c>
      <c r="K79" s="26" t="str">
        <f aca="false">INDEX(02_Massnahmenkatalog!$H:$H,MATCH($B79,02_Massnahmenkatalog!$B:$B,0))</f>
        <v>Nein</v>
      </c>
      <c r="L79" s="15"/>
      <c r="M79" s="15" t="n">
        <v>3</v>
      </c>
      <c r="N79" s="26" t="n">
        <f aca="false">INDEX(02_Massnahmenkatalog!$G:$G,MATCH($B79,02_Massnahmenkatalog!$B:$B,0))</f>
        <v>0</v>
      </c>
      <c r="O79" s="29" t="n">
        <f aca="false">INDEX(04_Nutzungsdauern!$C:$C,MATCH($M79,04_Nutzungsdauern!$B:$B,0))</f>
        <v>0.7</v>
      </c>
      <c r="P79" s="18" t="n">
        <f aca="false">$N79*$O79-(A_Jahr-IF($L79="",Obj_Baujahr,$L79))</f>
        <v>-58</v>
      </c>
      <c r="Q79" s="18" t="n">
        <f aca="false">A_Jahr+MAX(0,$P79)</f>
        <v>2026</v>
      </c>
      <c r="R79" s="15" t="s">
        <v>601</v>
      </c>
      <c r="S79" s="18" t="str">
        <f aca="false">IF($R79="Automatik",IF($Q79&lt;=A_Jahr+A_Horizont,"JA","NEIN"),IF(OR($R79="Sofort",$R79="In Horizont"),"JA","NEIN"))</f>
        <v>JA</v>
      </c>
      <c r="T79" s="16" t="n">
        <v>0</v>
      </c>
      <c r="U79" s="20" t="n">
        <f aca="false">IF(AND($K79="Ja",$S79="JA"),$J79*(1-$T79),0)</f>
        <v>0</v>
      </c>
      <c r="V79" s="30" t="str">
        <f aca="false">IF(AND($S79="NEIN",OR(AND(Obj_Zielstandard="EH 55 EE",$X79="Ja"),AND(Obj_Zielstandard="EH 40 EE",$Y79="Ja"))),"Pflicht bei Zielstandard, aber nicht aufgenommen","")</f>
        <v/>
      </c>
      <c r="W79" s="15"/>
      <c r="X79" s="26" t="str">
        <f aca="false">INDEX(02_Massnahmenkatalog!$J:$J,MATCH($B79,02_Massnahmenkatalog!$B:$B,0))</f>
        <v>Nein</v>
      </c>
      <c r="Y79" s="26" t="str">
        <f aca="false">INDEX(02_Massnahmenkatalog!$K:$K,MATCH($B79,02_Massnahmenkatalog!$B:$B,0))</f>
        <v>Nein</v>
      </c>
    </row>
    <row r="80" customFormat="false" ht="57.45" hidden="false" customHeight="false" outlineLevel="0" collapsed="false">
      <c r="B80" s="18" t="s">
        <v>333</v>
      </c>
      <c r="C80" s="26" t="str">
        <f aca="false">INDEX(02_Massnahmenkatalog!$C:$C,MATCH($B80,02_Massnahmenkatalog!$B:$B,0))</f>
        <v>Elektro/Innenausbau</v>
      </c>
      <c r="D80" s="27" t="str">
        <f aca="false">INDEX(02_Massnahmenkatalog!$D:$D,MATCH($B80,02_Massnahmenkatalog!$B:$B,0))</f>
        <v>Entkernung komplett (nur Vollsanierung Baujahr &lt;1960)</v>
      </c>
      <c r="E80" s="26" t="str">
        <f aca="false">INDEX(02_Massnahmenkatalog!$E:$E,MATCH($B80,02_Massnahmenkatalog!$B:$B,0))</f>
        <v>€/m² WF</v>
      </c>
      <c r="F80" s="18" t="n">
        <f aca="false">Obj_Wohnflaeche</f>
        <v>122</v>
      </c>
      <c r="G80" s="15"/>
      <c r="H80" s="18" t="n">
        <f aca="false">IF($G80="",$F80,$G80)</f>
        <v>122</v>
      </c>
      <c r="I80" s="28" t="n">
        <f aca="false">INDEX(02_Massnahmenkatalog!$F:$F,MATCH($B80,02_Massnahmenkatalog!$B:$B,0))</f>
        <v>95</v>
      </c>
      <c r="J80" s="20" t="n">
        <f aca="false">$H80*$I80</f>
        <v>11590</v>
      </c>
      <c r="K80" s="26" t="str">
        <f aca="false">INDEX(02_Massnahmenkatalog!$H:$H,MATCH($B80,02_Massnahmenkatalog!$B:$B,0))</f>
        <v>Nein</v>
      </c>
      <c r="L80" s="15"/>
      <c r="M80" s="15" t="n">
        <v>3</v>
      </c>
      <c r="N80" s="26" t="n">
        <f aca="false">INDEX(02_Massnahmenkatalog!$G:$G,MATCH($B80,02_Massnahmenkatalog!$B:$B,0))</f>
        <v>0</v>
      </c>
      <c r="O80" s="29" t="n">
        <f aca="false">INDEX(04_Nutzungsdauern!$C:$C,MATCH($M80,04_Nutzungsdauern!$B:$B,0))</f>
        <v>0.7</v>
      </c>
      <c r="P80" s="18" t="n">
        <f aca="false">$N80*$O80-(A_Jahr-IF($L80="",Obj_Baujahr,$L80))</f>
        <v>-58</v>
      </c>
      <c r="Q80" s="18" t="n">
        <f aca="false">A_Jahr+MAX(0,$P80)</f>
        <v>2026</v>
      </c>
      <c r="R80" s="15" t="s">
        <v>601</v>
      </c>
      <c r="S80" s="18" t="str">
        <f aca="false">IF($R80="Automatik",IF($Q80&lt;=A_Jahr+A_Horizont,"JA","NEIN"),IF(OR($R80="Sofort",$R80="In Horizont"),"JA","NEIN"))</f>
        <v>JA</v>
      </c>
      <c r="T80" s="16" t="n">
        <v>0</v>
      </c>
      <c r="U80" s="20" t="n">
        <f aca="false">IF(AND($K80="Ja",$S80="JA"),$J80*(1-$T80),0)</f>
        <v>0</v>
      </c>
      <c r="V80" s="30" t="str">
        <f aca="false">IF(AND($S80="NEIN",OR(AND(Obj_Zielstandard="EH 55 EE",$X80="Ja"),AND(Obj_Zielstandard="EH 40 EE",$Y80="Ja"))),"Pflicht bei Zielstandard, aber nicht aufgenommen","")</f>
        <v/>
      </c>
      <c r="W80" s="15"/>
      <c r="X80" s="26" t="str">
        <f aca="false">INDEX(02_Massnahmenkatalog!$J:$J,MATCH($B80,02_Massnahmenkatalog!$B:$B,0))</f>
        <v>Nein</v>
      </c>
      <c r="Y80" s="26" t="str">
        <f aca="false">INDEX(02_Massnahmenkatalog!$K:$K,MATCH($B80,02_Massnahmenkatalog!$B:$B,0))</f>
        <v>Nein</v>
      </c>
    </row>
    <row r="81" customFormat="false" ht="57.45" hidden="false" customHeight="false" outlineLevel="0" collapsed="false">
      <c r="B81" s="18" t="s">
        <v>336</v>
      </c>
      <c r="C81" s="26" t="str">
        <f aca="false">INDEX(02_Massnahmenkatalog!$C:$C,MATCH($B81,02_Massnahmenkatalog!$B:$B,0))</f>
        <v>Risiko/Schadstoff</v>
      </c>
      <c r="D81" s="27" t="str">
        <f aca="false">INDEX(02_Massnahmenkatalog!$D:$D,MATCH($B81,02_Massnahmenkatalog!$B:$B,0))</f>
        <v>Asbest-Eternitplatten Dach: Demontage+Entsorgung</v>
      </c>
      <c r="E81" s="26" t="str">
        <f aca="false">INDEX(02_Massnahmenkatalog!$E:$E,MATCH($B81,02_Massnahmenkatalog!$B:$B,0))</f>
        <v>€/m² Dachfläche</v>
      </c>
      <c r="F81" s="18" t="n">
        <f aca="false">IF(AND(Obj_Baujahr&lt;1994,Obj_DachEternit="Ja"),Obj_Dachflaeche,0)</f>
        <v>158.6</v>
      </c>
      <c r="G81" s="15"/>
      <c r="H81" s="18" t="n">
        <f aca="false">IF($G81="",$F81,$G81)</f>
        <v>158.6</v>
      </c>
      <c r="I81" s="28" t="n">
        <f aca="false">INDEX(02_Massnahmenkatalog!$F:$F,MATCH($B81,02_Massnahmenkatalog!$B:$B,0))</f>
        <v>40</v>
      </c>
      <c r="J81" s="20" t="n">
        <f aca="false">$H81*$I81</f>
        <v>6344</v>
      </c>
      <c r="K81" s="26" t="str">
        <f aca="false">INDEX(02_Massnahmenkatalog!$H:$H,MATCH($B81,02_Massnahmenkatalog!$B:$B,0))</f>
        <v>Nein</v>
      </c>
      <c r="L81" s="15"/>
      <c r="M81" s="15" t="n">
        <v>3</v>
      </c>
      <c r="N81" s="26" t="n">
        <f aca="false">INDEX(02_Massnahmenkatalog!$G:$G,MATCH($B81,02_Massnahmenkatalog!$B:$B,0))</f>
        <v>0</v>
      </c>
      <c r="O81" s="29" t="n">
        <f aca="false">INDEX(04_Nutzungsdauern!$C:$C,MATCH($M81,04_Nutzungsdauern!$B:$B,0))</f>
        <v>0.7</v>
      </c>
      <c r="P81" s="18" t="n">
        <f aca="false">$N81*$O81-(A_Jahr-IF($L81="",Obj_Baujahr,$L81))</f>
        <v>-58</v>
      </c>
      <c r="Q81" s="18" t="n">
        <f aca="false">A_Jahr+MAX(0,$P81)</f>
        <v>2026</v>
      </c>
      <c r="R81" s="15" t="s">
        <v>781</v>
      </c>
      <c r="S81" s="18" t="str">
        <f aca="false">IF($R81="Automatik",IF($Q81&lt;=A_Jahr+A_Horizont,"JA","NEIN"),IF(OR($R81="Sofort",$R81="In Horizont"),"JA","NEIN"))</f>
        <v>JA</v>
      </c>
      <c r="T81" s="16" t="n">
        <v>0</v>
      </c>
      <c r="U81" s="20" t="n">
        <f aca="false">IF(AND($K81="Ja",$S81="JA"),$J81*(1-$T81),0)</f>
        <v>0</v>
      </c>
      <c r="V81" s="30" t="str">
        <f aca="false">IF(AND($S81="NEIN",OR(AND(Obj_Zielstandard="EH 55 EE",$X81="Ja"),AND(Obj_Zielstandard="EH 40 EE",$Y81="Ja"))),"Pflicht bei Zielstandard, aber nicht aufgenommen","")</f>
        <v/>
      </c>
      <c r="W81" s="15" t="s">
        <v>792</v>
      </c>
      <c r="X81" s="26" t="str">
        <f aca="false">INDEX(02_Massnahmenkatalog!$J:$J,MATCH($B81,02_Massnahmenkatalog!$B:$B,0))</f>
        <v>Nein</v>
      </c>
      <c r="Y81" s="26" t="str">
        <f aca="false">INDEX(02_Massnahmenkatalog!$K:$K,MATCH($B81,02_Massnahmenkatalog!$B:$B,0))</f>
        <v>Nein</v>
      </c>
    </row>
    <row r="82" customFormat="false" ht="35.05" hidden="false" customHeight="false" outlineLevel="0" collapsed="false">
      <c r="B82" s="18" t="s">
        <v>340</v>
      </c>
      <c r="C82" s="26" t="str">
        <f aca="false">INDEX(02_Massnahmenkatalog!$C:$C,MATCH($B82,02_Massnahmenkatalog!$B:$B,0))</f>
        <v>Risiko/Schadstoff</v>
      </c>
      <c r="D82" s="27" t="str">
        <f aca="false">INDEX(02_Massnahmenkatalog!$D:$D,MATCH($B82,02_Massnahmenkatalog!$B:$B,0))</f>
        <v>Vinyl-Asbest-Fliesen entfernen</v>
      </c>
      <c r="E82" s="26" t="str">
        <f aca="false">INDEX(02_Massnahmenkatalog!$E:$E,MATCH($B82,02_Massnahmenkatalog!$B:$B,0))</f>
        <v>€/m² WF</v>
      </c>
      <c r="F82" s="18" t="n">
        <f aca="false">IF(Obj_Baujahr&lt;1994,Obj_Wohnflaeche,0)</f>
        <v>122</v>
      </c>
      <c r="G82" s="15"/>
      <c r="H82" s="18" t="n">
        <f aca="false">IF($G82="",$F82,$G82)</f>
        <v>122</v>
      </c>
      <c r="I82" s="28" t="n">
        <f aca="false">INDEX(02_Massnahmenkatalog!$F:$F,MATCH($B82,02_Massnahmenkatalog!$B:$B,0))</f>
        <v>40</v>
      </c>
      <c r="J82" s="20" t="n">
        <f aca="false">$H82*$I82</f>
        <v>4880</v>
      </c>
      <c r="K82" s="26" t="str">
        <f aca="false">INDEX(02_Massnahmenkatalog!$H:$H,MATCH($B82,02_Massnahmenkatalog!$B:$B,0))</f>
        <v>Nein</v>
      </c>
      <c r="L82" s="15"/>
      <c r="M82" s="15" t="n">
        <v>3</v>
      </c>
      <c r="N82" s="26" t="n">
        <f aca="false">INDEX(02_Massnahmenkatalog!$G:$G,MATCH($B82,02_Massnahmenkatalog!$B:$B,0))</f>
        <v>0</v>
      </c>
      <c r="O82" s="29" t="n">
        <f aca="false">INDEX(04_Nutzungsdauern!$C:$C,MATCH($M82,04_Nutzungsdauern!$B:$B,0))</f>
        <v>0.7</v>
      </c>
      <c r="P82" s="18" t="n">
        <f aca="false">$N82*$O82-(A_Jahr-IF($L82="",Obj_Baujahr,$L82))</f>
        <v>-58</v>
      </c>
      <c r="Q82" s="18" t="n">
        <f aca="false">A_Jahr+MAX(0,$P82)</f>
        <v>2026</v>
      </c>
      <c r="R82" s="15" t="s">
        <v>601</v>
      </c>
      <c r="S82" s="18" t="str">
        <f aca="false">IF($R82="Automatik",IF($Q82&lt;=A_Jahr+A_Horizont,"JA","NEIN"),IF(OR($R82="Sofort",$R82="In Horizont"),"JA","NEIN"))</f>
        <v>JA</v>
      </c>
      <c r="T82" s="16" t="n">
        <v>0</v>
      </c>
      <c r="U82" s="20" t="n">
        <f aca="false">IF(AND($K82="Ja",$S82="JA"),$J82*(1-$T82),0)</f>
        <v>0</v>
      </c>
      <c r="V82" s="30" t="str">
        <f aca="false">IF(AND($S82="NEIN",OR(AND(Obj_Zielstandard="EH 55 EE",$X82="Ja"),AND(Obj_Zielstandard="EH 40 EE",$Y82="Ja"))),"Pflicht bei Zielstandard, aber nicht aufgenommen","")</f>
        <v/>
      </c>
      <c r="W82" s="15"/>
      <c r="X82" s="26" t="str">
        <f aca="false">INDEX(02_Massnahmenkatalog!$J:$J,MATCH($B82,02_Massnahmenkatalog!$B:$B,0))</f>
        <v>Nein</v>
      </c>
      <c r="Y82" s="26" t="str">
        <f aca="false">INDEX(02_Massnahmenkatalog!$K:$K,MATCH($B82,02_Massnahmenkatalog!$B:$B,0))</f>
        <v>Nein</v>
      </c>
    </row>
    <row r="83" customFormat="false" ht="57.45" hidden="false" customHeight="false" outlineLevel="0" collapsed="false">
      <c r="B83" s="18" t="s">
        <v>343</v>
      </c>
      <c r="C83" s="26" t="str">
        <f aca="false">INDEX(02_Massnahmenkatalog!$C:$C,MATCH($B83,02_Massnahmenkatalog!$B:$B,0))</f>
        <v>Risiko/Schadstoff</v>
      </c>
      <c r="D83" s="27" t="str">
        <f aca="false">INDEX(02_Massnahmenkatalog!$D:$D,MATCH($B83,02_Massnahmenkatalog!$B:$B,0))</f>
        <v>Nachtspeicherofen entsorgen (asbestverdächtig)</v>
      </c>
      <c r="E83" s="26" t="str">
        <f aca="false">INDEX(02_Massnahmenkatalog!$E:$E,MATCH($B83,02_Massnahmenkatalog!$B:$B,0))</f>
        <v>€/Gerät</v>
      </c>
      <c r="F83" s="18" t="n">
        <f aca="false">Obj_AnzNachtspeicher</f>
        <v>0</v>
      </c>
      <c r="G83" s="15"/>
      <c r="H83" s="18" t="n">
        <f aca="false">IF($G83="",$F83,$G83)</f>
        <v>0</v>
      </c>
      <c r="I83" s="28" t="n">
        <f aca="false">INDEX(02_Massnahmenkatalog!$F:$F,MATCH($B83,02_Massnahmenkatalog!$B:$B,0))</f>
        <v>220</v>
      </c>
      <c r="J83" s="20" t="n">
        <f aca="false">$H83*$I83</f>
        <v>0</v>
      </c>
      <c r="K83" s="26" t="str">
        <f aca="false">INDEX(02_Massnahmenkatalog!$H:$H,MATCH($B83,02_Massnahmenkatalog!$B:$B,0))</f>
        <v>Nein</v>
      </c>
      <c r="L83" s="15"/>
      <c r="M83" s="15" t="n">
        <v>3</v>
      </c>
      <c r="N83" s="26" t="n">
        <f aca="false">INDEX(02_Massnahmenkatalog!$G:$G,MATCH($B83,02_Massnahmenkatalog!$B:$B,0))</f>
        <v>0</v>
      </c>
      <c r="O83" s="29" t="n">
        <f aca="false">INDEX(04_Nutzungsdauern!$C:$C,MATCH($M83,04_Nutzungsdauern!$B:$B,0))</f>
        <v>0.7</v>
      </c>
      <c r="P83" s="18" t="n">
        <f aca="false">$N83*$O83-(A_Jahr-IF($L83="",Obj_Baujahr,$L83))</f>
        <v>-58</v>
      </c>
      <c r="Q83" s="18" t="n">
        <f aca="false">A_Jahr+MAX(0,$P83)</f>
        <v>2026</v>
      </c>
      <c r="R83" s="15" t="s">
        <v>601</v>
      </c>
      <c r="S83" s="18" t="str">
        <f aca="false">IF($R83="Automatik",IF($Q83&lt;=A_Jahr+A_Horizont,"JA","NEIN"),IF(OR($R83="Sofort",$R83="In Horizont"),"JA","NEIN"))</f>
        <v>JA</v>
      </c>
      <c r="T83" s="16" t="n">
        <v>0</v>
      </c>
      <c r="U83" s="20" t="n">
        <f aca="false">IF(AND($K83="Ja",$S83="JA"),$J83*(1-$T83),0)</f>
        <v>0</v>
      </c>
      <c r="V83" s="30" t="str">
        <f aca="false">IF(AND($S83="NEIN",OR(AND(Obj_Zielstandard="EH 55 EE",$X83="Ja"),AND(Obj_Zielstandard="EH 40 EE",$Y83="Ja"))),"Pflicht bei Zielstandard, aber nicht aufgenommen","")</f>
        <v/>
      </c>
      <c r="W83" s="15"/>
      <c r="X83" s="26" t="str">
        <f aca="false">INDEX(02_Massnahmenkatalog!$J:$J,MATCH($B83,02_Massnahmenkatalog!$B:$B,0))</f>
        <v>Nein</v>
      </c>
      <c r="Y83" s="26" t="str">
        <f aca="false">INDEX(02_Massnahmenkatalog!$K:$K,MATCH($B83,02_Massnahmenkatalog!$B:$B,0))</f>
        <v>Nein</v>
      </c>
    </row>
    <row r="84" customFormat="false" ht="35.05" hidden="false" customHeight="false" outlineLevel="0" collapsed="false">
      <c r="B84" s="18" t="s">
        <v>346</v>
      </c>
      <c r="C84" s="26" t="str">
        <f aca="false">INDEX(02_Massnahmenkatalog!$C:$C,MATCH($B84,02_Massnahmenkatalog!$B:$B,0))</f>
        <v>Risiko/Schadstoff</v>
      </c>
      <c r="D84" s="27" t="str">
        <f aca="false">INDEX(02_Massnahmenkatalog!$D:$D,MATCH($B84,02_Massnahmenkatalog!$B:$B,0))</f>
        <v>Öltank-Stilllegung + Entsorgung</v>
      </c>
      <c r="E84" s="26" t="str">
        <f aca="false">INDEX(02_Massnahmenkatalog!$E:$E,MATCH($B84,02_Massnahmenkatalog!$B:$B,0))</f>
        <v>€ pauschal</v>
      </c>
      <c r="F84" s="18" t="n">
        <f aca="false">IF(Obj_HeizungAlt="Ölheizung",1,0)</f>
        <v>1</v>
      </c>
      <c r="G84" s="15"/>
      <c r="H84" s="18" t="n">
        <f aca="false">IF($G84="",$F84,$G84)</f>
        <v>1</v>
      </c>
      <c r="I84" s="28" t="n">
        <f aca="false">INDEX(02_Massnahmenkatalog!$F:$F,MATCH($B84,02_Massnahmenkatalog!$B:$B,0))</f>
        <v>1500</v>
      </c>
      <c r="J84" s="20" t="n">
        <f aca="false">$H84*$I84</f>
        <v>1500</v>
      </c>
      <c r="K84" s="26" t="str">
        <f aca="false">INDEX(02_Massnahmenkatalog!$H:$H,MATCH($B84,02_Massnahmenkatalog!$B:$B,0))</f>
        <v>Nein</v>
      </c>
      <c r="L84" s="15"/>
      <c r="M84" s="15" t="n">
        <v>3</v>
      </c>
      <c r="N84" s="26" t="n">
        <f aca="false">INDEX(02_Massnahmenkatalog!$G:$G,MATCH($B84,02_Massnahmenkatalog!$B:$B,0))</f>
        <v>0</v>
      </c>
      <c r="O84" s="29" t="n">
        <f aca="false">INDEX(04_Nutzungsdauern!$C:$C,MATCH($M84,04_Nutzungsdauern!$B:$B,0))</f>
        <v>0.7</v>
      </c>
      <c r="P84" s="18" t="n">
        <f aca="false">$N84*$O84-(A_Jahr-IF($L84="",Obj_Baujahr,$L84))</f>
        <v>-58</v>
      </c>
      <c r="Q84" s="18" t="n">
        <f aca="false">A_Jahr+MAX(0,$P84)</f>
        <v>2026</v>
      </c>
      <c r="R84" s="15" t="s">
        <v>781</v>
      </c>
      <c r="S84" s="18" t="str">
        <f aca="false">IF($R84="Automatik",IF($Q84&lt;=A_Jahr+A_Horizont,"JA","NEIN"),IF(OR($R84="Sofort",$R84="In Horizont"),"JA","NEIN"))</f>
        <v>JA</v>
      </c>
      <c r="T84" s="16" t="n">
        <v>0</v>
      </c>
      <c r="U84" s="20" t="n">
        <f aca="false">IF(AND($K84="Ja",$S84="JA"),$J84*(1-$T84),0)</f>
        <v>0</v>
      </c>
      <c r="V84" s="30" t="str">
        <f aca="false">IF(AND($S84="NEIN",OR(AND(Obj_Zielstandard="EH 55 EE",$X84="Ja"),AND(Obj_Zielstandard="EH 40 EE",$Y84="Ja"))),"Pflicht bei Zielstandard, aber nicht aufgenommen","")</f>
        <v/>
      </c>
      <c r="W84" s="15" t="s">
        <v>793</v>
      </c>
      <c r="X84" s="26" t="str">
        <f aca="false">INDEX(02_Massnahmenkatalog!$J:$J,MATCH($B84,02_Massnahmenkatalog!$B:$B,0))</f>
        <v>Nein</v>
      </c>
      <c r="Y84" s="26" t="str">
        <f aca="false">INDEX(02_Massnahmenkatalog!$K:$K,MATCH($B84,02_Massnahmenkatalog!$B:$B,0))</f>
        <v>Nein</v>
      </c>
    </row>
    <row r="85" customFormat="false" ht="46.25" hidden="false" customHeight="false" outlineLevel="0" collapsed="false">
      <c r="B85" s="18" t="s">
        <v>349</v>
      </c>
      <c r="C85" s="26" t="str">
        <f aca="false">INDEX(02_Massnahmenkatalog!$C:$C,MATCH($B85,02_Massnahmenkatalog!$B:$B,0))</f>
        <v>Risiko/Schadstoff</v>
      </c>
      <c r="D85" s="27" t="str">
        <f aca="false">INDEX(02_Massnahmenkatalog!$D:$D,MATCH($B85,02_Massnahmenkatalog!$B:$B,0))</f>
        <v>Horizontalsperre gegen aufsteigende Feuchte</v>
      </c>
      <c r="E85" s="26" t="str">
        <f aca="false">INDEX(02_Massnahmenkatalog!$E:$E,MATCH($B85,02_Massnahmenkatalog!$B:$B,0))</f>
        <v>€/lfm Außenwand</v>
      </c>
      <c r="F85" s="18" t="n">
        <f aca="false">IF(Obj_FeuchteKeller="Ja",Obj_Umfang,0)</f>
        <v>0</v>
      </c>
      <c r="G85" s="15"/>
      <c r="H85" s="18" t="n">
        <f aca="false">IF($G85="",$F85,$G85)</f>
        <v>0</v>
      </c>
      <c r="I85" s="28" t="n">
        <f aca="false">INDEX(02_Massnahmenkatalog!$F:$F,MATCH($B85,02_Massnahmenkatalog!$B:$B,0))</f>
        <v>300</v>
      </c>
      <c r="J85" s="20" t="n">
        <f aca="false">$H85*$I85</f>
        <v>0</v>
      </c>
      <c r="K85" s="26" t="str">
        <f aca="false">INDEX(02_Massnahmenkatalog!$H:$H,MATCH($B85,02_Massnahmenkatalog!$B:$B,0))</f>
        <v>Nein</v>
      </c>
      <c r="L85" s="15"/>
      <c r="M85" s="15" t="n">
        <v>3</v>
      </c>
      <c r="N85" s="26" t="n">
        <f aca="false">INDEX(02_Massnahmenkatalog!$G:$G,MATCH($B85,02_Massnahmenkatalog!$B:$B,0))</f>
        <v>0</v>
      </c>
      <c r="O85" s="29" t="n">
        <f aca="false">INDEX(04_Nutzungsdauern!$C:$C,MATCH($M85,04_Nutzungsdauern!$B:$B,0))</f>
        <v>0.7</v>
      </c>
      <c r="P85" s="18" t="n">
        <f aca="false">$N85*$O85-(A_Jahr-IF($L85="",Obj_Baujahr,$L85))</f>
        <v>-58</v>
      </c>
      <c r="Q85" s="18" t="n">
        <f aca="false">A_Jahr+MAX(0,$P85)</f>
        <v>2026</v>
      </c>
      <c r="R85" s="15" t="s">
        <v>601</v>
      </c>
      <c r="S85" s="18" t="str">
        <f aca="false">IF($R85="Automatik",IF($Q85&lt;=A_Jahr+A_Horizont,"JA","NEIN"),IF(OR($R85="Sofort",$R85="In Horizont"),"JA","NEIN"))</f>
        <v>JA</v>
      </c>
      <c r="T85" s="16" t="n">
        <v>0</v>
      </c>
      <c r="U85" s="20" t="n">
        <f aca="false">IF(AND($K85="Ja",$S85="JA"),$J85*(1-$T85),0)</f>
        <v>0</v>
      </c>
      <c r="V85" s="30" t="str">
        <f aca="false">IF(AND($S85="NEIN",OR(AND(Obj_Zielstandard="EH 55 EE",$X85="Ja"),AND(Obj_Zielstandard="EH 40 EE",$Y85="Ja"))),"Pflicht bei Zielstandard, aber nicht aufgenommen","")</f>
        <v/>
      </c>
      <c r="W85" s="15"/>
      <c r="X85" s="26" t="str">
        <f aca="false">INDEX(02_Massnahmenkatalog!$J:$J,MATCH($B85,02_Massnahmenkatalog!$B:$B,0))</f>
        <v>Nein</v>
      </c>
      <c r="Y85" s="26" t="str">
        <f aca="false">INDEX(02_Massnahmenkatalog!$K:$K,MATCH($B85,02_Massnahmenkatalog!$B:$B,0))</f>
        <v>Nein</v>
      </c>
    </row>
    <row r="86" customFormat="false" ht="68.65" hidden="false" customHeight="false" outlineLevel="0" collapsed="false">
      <c r="B86" s="18" t="s">
        <v>353</v>
      </c>
      <c r="C86" s="26" t="str">
        <f aca="false">INDEX(02_Massnahmenkatalog!$C:$C,MATCH($B86,02_Massnahmenkatalog!$B:$B,0))</f>
        <v>Risiko/Schadstoff</v>
      </c>
      <c r="D86" s="27" t="str">
        <f aca="false">INDEX(02_Massnahmenkatalog!$D:$D,MATCH($B86,02_Massnahmenkatalog!$B:$B,0))</f>
        <v>Laboranalyse Asbestprobe + Dokumentation (§5a GefStoffV)</v>
      </c>
      <c r="E86" s="26" t="str">
        <f aca="false">INDEX(02_Massnahmenkatalog!$E:$E,MATCH($B86,02_Massnahmenkatalog!$B:$B,0))</f>
        <v>€ pauschal</v>
      </c>
      <c r="F86" s="18" t="n">
        <f aca="false">IF(Obj_Baujahr&lt;1994,1,0)</f>
        <v>1</v>
      </c>
      <c r="G86" s="15"/>
      <c r="H86" s="18" t="n">
        <f aca="false">IF($G86="",$F86,$G86)</f>
        <v>1</v>
      </c>
      <c r="I86" s="28" t="n">
        <f aca="false">INDEX(02_Massnahmenkatalog!$F:$F,MATCH($B86,02_Massnahmenkatalog!$B:$B,0))</f>
        <v>300</v>
      </c>
      <c r="J86" s="20" t="n">
        <f aca="false">$H86*$I86</f>
        <v>300</v>
      </c>
      <c r="K86" s="26" t="str">
        <f aca="false">INDEX(02_Massnahmenkatalog!$H:$H,MATCH($B86,02_Massnahmenkatalog!$B:$B,0))</f>
        <v>Nein</v>
      </c>
      <c r="L86" s="15"/>
      <c r="M86" s="15" t="n">
        <v>3</v>
      </c>
      <c r="N86" s="26" t="n">
        <f aca="false">INDEX(02_Massnahmenkatalog!$G:$G,MATCH($B86,02_Massnahmenkatalog!$B:$B,0))</f>
        <v>0</v>
      </c>
      <c r="O86" s="29" t="n">
        <f aca="false">INDEX(04_Nutzungsdauern!$C:$C,MATCH($M86,04_Nutzungsdauern!$B:$B,0))</f>
        <v>0.7</v>
      </c>
      <c r="P86" s="18" t="n">
        <f aca="false">$N86*$O86-(A_Jahr-IF($L86="",Obj_Baujahr,$L86))</f>
        <v>-58</v>
      </c>
      <c r="Q86" s="18" t="n">
        <f aca="false">A_Jahr+MAX(0,$P86)</f>
        <v>2026</v>
      </c>
      <c r="R86" s="15" t="s">
        <v>601</v>
      </c>
      <c r="S86" s="18" t="str">
        <f aca="false">IF($R86="Automatik",IF($Q86&lt;=A_Jahr+A_Horizont,"JA","NEIN"),IF(OR($R86="Sofort",$R86="In Horizont"),"JA","NEIN"))</f>
        <v>JA</v>
      </c>
      <c r="T86" s="16" t="n">
        <v>0</v>
      </c>
      <c r="U86" s="20" t="n">
        <f aca="false">IF(AND($K86="Ja",$S86="JA"),$J86*(1-$T86),0)</f>
        <v>0</v>
      </c>
      <c r="V86" s="30" t="str">
        <f aca="false">IF(AND($S86="NEIN",OR(AND(Obj_Zielstandard="EH 55 EE",$X86="Ja"),AND(Obj_Zielstandard="EH 40 EE",$Y86="Ja"))),"Pflicht bei Zielstandard, aber nicht aufgenommen","")</f>
        <v/>
      </c>
      <c r="W86" s="15"/>
      <c r="X86" s="26" t="str">
        <f aca="false">INDEX(02_Massnahmenkatalog!$J:$J,MATCH($B86,02_Massnahmenkatalog!$B:$B,0))</f>
        <v>Nein</v>
      </c>
      <c r="Y86" s="26" t="str">
        <f aca="false">INDEX(02_Massnahmenkatalog!$K:$K,MATCH($B86,02_Massnahmenkatalog!$B:$B,0))</f>
        <v>Nein</v>
      </c>
    </row>
    <row r="87" customFormat="false" ht="15" hidden="false" customHeight="false" outlineLevel="0" collapsed="false">
      <c r="B87" s="18" t="s">
        <v>356</v>
      </c>
      <c r="C87" s="26" t="str">
        <f aca="false">INDEX(02_Massnahmenkatalog!$C:$C,MATCH($B87,02_Massnahmenkatalog!$B:$B,0))</f>
        <v>Klimaneutralität</v>
      </c>
      <c r="D87" s="27" t="str">
        <f aca="false">INDEX(02_Massnahmenkatalog!$D:$D,MATCH($B87,02_Massnahmenkatalog!$B:$B,0))</f>
        <v>PV-Anlage</v>
      </c>
      <c r="E87" s="26" t="str">
        <f aca="false">INDEX(02_Massnahmenkatalog!$E:$E,MATCH($B87,02_Massnahmenkatalog!$B:$B,0))</f>
        <v>€/kWp (gestaffelt)</v>
      </c>
      <c r="F87" s="18" t="n">
        <f aca="false">Obj_PV_kWp</f>
        <v>14.4181818181818</v>
      </c>
      <c r="G87" s="15"/>
      <c r="H87" s="18" t="n">
        <f aca="false">IF($G87="",$F87,$G87)</f>
        <v>14.4181818181818</v>
      </c>
      <c r="I87" s="28" t="n">
        <f aca="false">LOOKUP($H87,05_Energiekennwerte!$B$19:$B$23,05_Energiekennwerte!$C$19:$C$23)</f>
        <v>1200</v>
      </c>
      <c r="J87" s="20" t="n">
        <f aca="false">$H87*$I87</f>
        <v>17301.8181818182</v>
      </c>
      <c r="K87" s="26" t="str">
        <f aca="false">INDEX(02_Massnahmenkatalog!$H:$H,MATCH($B87,02_Massnahmenkatalog!$B:$B,0))</f>
        <v>Nein</v>
      </c>
      <c r="L87" s="15"/>
      <c r="M87" s="15" t="n">
        <v>3</v>
      </c>
      <c r="N87" s="26" t="n">
        <f aca="false">INDEX(02_Massnahmenkatalog!$G:$G,MATCH($B87,02_Massnahmenkatalog!$B:$B,0))</f>
        <v>25</v>
      </c>
      <c r="O87" s="29" t="n">
        <f aca="false">INDEX(04_Nutzungsdauern!$C:$C,MATCH($M87,04_Nutzungsdauern!$B:$B,0))</f>
        <v>0.7</v>
      </c>
      <c r="P87" s="18" t="n">
        <f aca="false">$N87*$O87-(A_Jahr-IF($L87="",Obj_Baujahr,$L87))</f>
        <v>-40.5</v>
      </c>
      <c r="Q87" s="18" t="n">
        <f aca="false">A_Jahr+MAX(0,$P87)</f>
        <v>2026</v>
      </c>
      <c r="R87" s="15" t="s">
        <v>601</v>
      </c>
      <c r="S87" s="18" t="str">
        <f aca="false">IF($R87="Automatik",IF($Q87&lt;=A_Jahr+A_Horizont,"JA","NEIN"),IF(OR($R87="Sofort",$R87="In Horizont"),"JA","NEIN"))</f>
        <v>JA</v>
      </c>
      <c r="T87" s="16" t="n">
        <v>0</v>
      </c>
      <c r="U87" s="20" t="n">
        <f aca="false">IF(AND($K87="Ja",$S87="JA"),$J87*(1-$T87),0)</f>
        <v>0</v>
      </c>
      <c r="V87" s="30" t="str">
        <f aca="false">IF(AND($S87="NEIN",OR(AND(Obj_Zielstandard="EH 55 EE",$X87="Ja"),AND(Obj_Zielstandard="EH 40 EE",$Y87="Ja"))),"Pflicht bei Zielstandard, aber nicht aufgenommen","")</f>
        <v/>
      </c>
      <c r="W87" s="15"/>
      <c r="X87" s="26" t="str">
        <f aca="false">INDEX(02_Massnahmenkatalog!$J:$J,MATCH($B87,02_Massnahmenkatalog!$B:$B,0))</f>
        <v>Nein</v>
      </c>
      <c r="Y87" s="26" t="str">
        <f aca="false">INDEX(02_Massnahmenkatalog!$K:$K,MATCH($B87,02_Massnahmenkatalog!$B:$B,0))</f>
        <v>Nein</v>
      </c>
    </row>
    <row r="88" customFormat="false" ht="23.85" hidden="false" customHeight="false" outlineLevel="0" collapsed="false">
      <c r="B88" s="18" t="s">
        <v>361</v>
      </c>
      <c r="C88" s="26" t="str">
        <f aca="false">INDEX(02_Massnahmenkatalog!$C:$C,MATCH($B88,02_Massnahmenkatalog!$B:$B,0))</f>
        <v>Klimaneutralität</v>
      </c>
      <c r="D88" s="27" t="str">
        <f aca="false">INDEX(02_Massnahmenkatalog!$D:$D,MATCH($B88,02_Massnahmenkatalog!$B:$B,0))</f>
        <v>Batteriespeicher</v>
      </c>
      <c r="E88" s="26" t="str">
        <f aca="false">INDEX(02_Massnahmenkatalog!$E:$E,MATCH($B88,02_Massnahmenkatalog!$B:$B,0))</f>
        <v>€/kWh</v>
      </c>
      <c r="F88" s="18" t="n">
        <f aca="false">Obj_PV_SpeicherKWh</f>
        <v>14.4181818181818</v>
      </c>
      <c r="G88" s="15"/>
      <c r="H88" s="18" t="n">
        <f aca="false">IF($G88="",$F88,$G88)</f>
        <v>14.4181818181818</v>
      </c>
      <c r="I88" s="28" t="n">
        <f aca="false">INDEX(02_Massnahmenkatalog!$F:$F,MATCH($B88,02_Massnahmenkatalog!$B:$B,0))</f>
        <v>350</v>
      </c>
      <c r="J88" s="20" t="n">
        <f aca="false">$H88*$I88</f>
        <v>5046.36363636364</v>
      </c>
      <c r="K88" s="26" t="str">
        <f aca="false">INDEX(02_Massnahmenkatalog!$H:$H,MATCH($B88,02_Massnahmenkatalog!$B:$B,0))</f>
        <v>Nein</v>
      </c>
      <c r="L88" s="15"/>
      <c r="M88" s="15" t="n">
        <v>3</v>
      </c>
      <c r="N88" s="26" t="n">
        <f aca="false">INDEX(02_Massnahmenkatalog!$G:$G,MATCH($B88,02_Massnahmenkatalog!$B:$B,0))</f>
        <v>18</v>
      </c>
      <c r="O88" s="29" t="n">
        <f aca="false">INDEX(04_Nutzungsdauern!$C:$C,MATCH($M88,04_Nutzungsdauern!$B:$B,0))</f>
        <v>0.7</v>
      </c>
      <c r="P88" s="18" t="n">
        <f aca="false">$N88*$O88-(A_Jahr-IF($L88="",Obj_Baujahr,$L88))</f>
        <v>-45.4</v>
      </c>
      <c r="Q88" s="18" t="n">
        <f aca="false">A_Jahr+MAX(0,$P88)</f>
        <v>2026</v>
      </c>
      <c r="R88" s="15" t="s">
        <v>601</v>
      </c>
      <c r="S88" s="18" t="str">
        <f aca="false">IF($R88="Automatik",IF($Q88&lt;=A_Jahr+A_Horizont,"JA","NEIN"),IF(OR($R88="Sofort",$R88="In Horizont"),"JA","NEIN"))</f>
        <v>JA</v>
      </c>
      <c r="T88" s="16" t="n">
        <v>0</v>
      </c>
      <c r="U88" s="20" t="n">
        <f aca="false">IF(AND($K88="Ja",$S88="JA"),$J88*(1-$T88),0)</f>
        <v>0</v>
      </c>
      <c r="V88" s="30" t="str">
        <f aca="false">IF(AND($S88="NEIN",OR(AND(Obj_Zielstandard="EH 55 EE",$X88="Ja"),AND(Obj_Zielstandard="EH 40 EE",$Y88="Ja"))),"Pflicht bei Zielstandard, aber nicht aufgenommen","")</f>
        <v/>
      </c>
      <c r="W88" s="15"/>
      <c r="X88" s="26" t="str">
        <f aca="false">INDEX(02_Massnahmenkatalog!$J:$J,MATCH($B88,02_Massnahmenkatalog!$B:$B,0))</f>
        <v>Nein</v>
      </c>
      <c r="Y88" s="26" t="str">
        <f aca="false">INDEX(02_Massnahmenkatalog!$K:$K,MATCH($B88,02_Massnahmenkatalog!$B:$B,0))</f>
        <v>Nein</v>
      </c>
    </row>
    <row r="89" customFormat="false" ht="57.45" hidden="false" customHeight="false" outlineLevel="0" collapsed="false">
      <c r="B89" s="18" t="s">
        <v>364</v>
      </c>
      <c r="C89" s="26" t="str">
        <f aca="false">INDEX(02_Massnahmenkatalog!$C:$C,MATCH($B89,02_Massnahmenkatalog!$B:$B,0))</f>
        <v>Klimaneutralität</v>
      </c>
      <c r="D89" s="27" t="str">
        <f aca="false">INDEX(02_Massnahmenkatalog!$D:$D,MATCH($B89,02_Massnahmenkatalog!$B:$B,0))</f>
        <v>Energiemanagementsystem/Wechselrichter-Aufpreis</v>
      </c>
      <c r="E89" s="26" t="str">
        <f aca="false">INDEX(02_Massnahmenkatalog!$E:$E,MATCH($B89,02_Massnahmenkatalog!$B:$B,0))</f>
        <v>€ pauschal</v>
      </c>
      <c r="F89" s="18" t="n">
        <f aca="false">1</f>
        <v>1</v>
      </c>
      <c r="G89" s="15"/>
      <c r="H89" s="18" t="n">
        <f aca="false">IF($G89="",$F89,$G89)</f>
        <v>1</v>
      </c>
      <c r="I89" s="28" t="n">
        <f aca="false">INDEX(02_Massnahmenkatalog!$F:$F,MATCH($B89,02_Massnahmenkatalog!$B:$B,0))</f>
        <v>1500</v>
      </c>
      <c r="J89" s="20" t="n">
        <f aca="false">$H89*$I89</f>
        <v>1500</v>
      </c>
      <c r="K89" s="26" t="str">
        <f aca="false">INDEX(02_Massnahmenkatalog!$H:$H,MATCH($B89,02_Massnahmenkatalog!$B:$B,0))</f>
        <v>Ja</v>
      </c>
      <c r="L89" s="15"/>
      <c r="M89" s="15" t="n">
        <v>3</v>
      </c>
      <c r="N89" s="26" t="n">
        <f aca="false">INDEX(02_Massnahmenkatalog!$G:$G,MATCH($B89,02_Massnahmenkatalog!$B:$B,0))</f>
        <v>15</v>
      </c>
      <c r="O89" s="29" t="n">
        <f aca="false">INDEX(04_Nutzungsdauern!$C:$C,MATCH($M89,04_Nutzungsdauern!$B:$B,0))</f>
        <v>0.7</v>
      </c>
      <c r="P89" s="18" t="n">
        <f aca="false">$N89*$O89-(A_Jahr-IF($L89="",Obj_Baujahr,$L89))</f>
        <v>-47.5</v>
      </c>
      <c r="Q89" s="18" t="n">
        <f aca="false">A_Jahr+MAX(0,$P89)</f>
        <v>2026</v>
      </c>
      <c r="R89" s="15" t="s">
        <v>601</v>
      </c>
      <c r="S89" s="18" t="str">
        <f aca="false">IF($R89="Automatik",IF($Q89&lt;=A_Jahr+A_Horizont,"JA","NEIN"),IF(OR($R89="Sofort",$R89="In Horizont"),"JA","NEIN"))</f>
        <v>JA</v>
      </c>
      <c r="T89" s="16" t="n">
        <v>0</v>
      </c>
      <c r="U89" s="20" t="n">
        <f aca="false">IF(AND($K89="Ja",$S89="JA"),$J89*(1-$T89),0)</f>
        <v>1500</v>
      </c>
      <c r="V89" s="30" t="str">
        <f aca="false">IF(AND($S89="NEIN",OR(AND(Obj_Zielstandard="EH 55 EE",$X89="Ja"),AND(Obj_Zielstandard="EH 40 EE",$Y89="Ja"))),"Pflicht bei Zielstandard, aber nicht aufgenommen","")</f>
        <v/>
      </c>
      <c r="W89" s="15"/>
      <c r="X89" s="26" t="str">
        <f aca="false">INDEX(02_Massnahmenkatalog!$J:$J,MATCH($B89,02_Massnahmenkatalog!$B:$B,0))</f>
        <v>Nein</v>
      </c>
      <c r="Y89" s="26" t="str">
        <f aca="false">INDEX(02_Massnahmenkatalog!$K:$K,MATCH($B89,02_Massnahmenkatalog!$B:$B,0))</f>
        <v>Nein</v>
      </c>
    </row>
    <row r="90" customFormat="false" ht="35.05" hidden="false" customHeight="false" outlineLevel="0" collapsed="false">
      <c r="B90" s="18" t="s">
        <v>368</v>
      </c>
      <c r="C90" s="26" t="str">
        <f aca="false">INDEX(02_Massnahmenkatalog!$C:$C,MATCH($B90,02_Massnahmenkatalog!$B:$B,0))</f>
        <v>Klimaneutralität</v>
      </c>
      <c r="D90" s="27" t="str">
        <f aca="false">INDEX(02_Massnahmenkatalog!$D:$D,MATCH($B90,02_Massnahmenkatalog!$B:$B,0))</f>
        <v>Notstrom-/Ersatzstromfähigkeit</v>
      </c>
      <c r="E90" s="26" t="str">
        <f aca="false">INDEX(02_Massnahmenkatalog!$E:$E,MATCH($B90,02_Massnahmenkatalog!$B:$B,0))</f>
        <v>€ pauschal</v>
      </c>
      <c r="F90" s="18" t="n">
        <f aca="false">0</f>
        <v>0</v>
      </c>
      <c r="G90" s="15"/>
      <c r="H90" s="18" t="n">
        <f aca="false">IF($G90="",$F90,$G90)</f>
        <v>0</v>
      </c>
      <c r="I90" s="28" t="n">
        <f aca="false">INDEX(02_Massnahmenkatalog!$F:$F,MATCH($B90,02_Massnahmenkatalog!$B:$B,0))</f>
        <v>2500</v>
      </c>
      <c r="J90" s="20" t="n">
        <f aca="false">$H90*$I90</f>
        <v>0</v>
      </c>
      <c r="K90" s="26" t="str">
        <f aca="false">INDEX(02_Massnahmenkatalog!$H:$H,MATCH($B90,02_Massnahmenkatalog!$B:$B,0))</f>
        <v>Nein</v>
      </c>
      <c r="L90" s="15"/>
      <c r="M90" s="15" t="n">
        <v>3</v>
      </c>
      <c r="N90" s="26" t="n">
        <f aca="false">INDEX(02_Massnahmenkatalog!$G:$G,MATCH($B90,02_Massnahmenkatalog!$B:$B,0))</f>
        <v>15</v>
      </c>
      <c r="O90" s="29" t="n">
        <f aca="false">INDEX(04_Nutzungsdauern!$C:$C,MATCH($M90,04_Nutzungsdauern!$B:$B,0))</f>
        <v>0.7</v>
      </c>
      <c r="P90" s="18" t="n">
        <f aca="false">$N90*$O90-(A_Jahr-IF($L90="",Obj_Baujahr,$L90))</f>
        <v>-47.5</v>
      </c>
      <c r="Q90" s="18" t="n">
        <f aca="false">A_Jahr+MAX(0,$P90)</f>
        <v>2026</v>
      </c>
      <c r="R90" s="15" t="s">
        <v>601</v>
      </c>
      <c r="S90" s="18" t="str">
        <f aca="false">IF($R90="Automatik",IF($Q90&lt;=A_Jahr+A_Horizont,"JA","NEIN"),IF(OR($R90="Sofort",$R90="In Horizont"),"JA","NEIN"))</f>
        <v>JA</v>
      </c>
      <c r="T90" s="16" t="n">
        <v>0</v>
      </c>
      <c r="U90" s="20" t="n">
        <f aca="false">IF(AND($K90="Ja",$S90="JA"),$J90*(1-$T90),0)</f>
        <v>0</v>
      </c>
      <c r="V90" s="30" t="str">
        <f aca="false">IF(AND($S90="NEIN",OR(AND(Obj_Zielstandard="EH 55 EE",$X90="Ja"),AND(Obj_Zielstandard="EH 40 EE",$Y90="Ja"))),"Pflicht bei Zielstandard, aber nicht aufgenommen","")</f>
        <v/>
      </c>
      <c r="W90" s="15"/>
      <c r="X90" s="26" t="str">
        <f aca="false">INDEX(02_Massnahmenkatalog!$J:$J,MATCH($B90,02_Massnahmenkatalog!$B:$B,0))</f>
        <v>Nein</v>
      </c>
      <c r="Y90" s="26" t="str">
        <f aca="false">INDEX(02_Massnahmenkatalog!$K:$K,MATCH($B90,02_Massnahmenkatalog!$B:$B,0))</f>
        <v>Nein</v>
      </c>
    </row>
    <row r="91" customFormat="false" ht="68.65" hidden="false" customHeight="false" outlineLevel="0" collapsed="false">
      <c r="B91" s="18" t="s">
        <v>371</v>
      </c>
      <c r="C91" s="26" t="str">
        <f aca="false">INDEX(02_Massnahmenkatalog!$C:$C,MATCH($B91,02_Massnahmenkatalog!$B:$B,0))</f>
        <v>Smart Home</v>
      </c>
      <c r="D91" s="27" t="str">
        <f aca="false">INDEX(02_Massnahmenkatalog!$D:$D,MATCH($B91,02_Massnahmenkatalog!$B:$B,0))</f>
        <v>Stufe 1 – Netzwerk-Basis (CAT7, Patchfeld, PoE-Switch, APs)</v>
      </c>
      <c r="E91" s="26" t="str">
        <f aca="false">INDEX(02_Massnahmenkatalog!$E:$E,MATCH($B91,02_Massnahmenkatalog!$B:$B,0))</f>
        <v>€/Dose</v>
      </c>
      <c r="F91" s="18" t="n">
        <f aca="false">Obj_AnzRaeume*1.5</f>
        <v>10.5</v>
      </c>
      <c r="G91" s="15"/>
      <c r="H91" s="18" t="n">
        <f aca="false">IF($G91="",$F91,$G91)</f>
        <v>10.5</v>
      </c>
      <c r="I91" s="28" t="n">
        <f aca="false">INDEX(02_Massnahmenkatalog!$F:$F,MATCH($B91,02_Massnahmenkatalog!$B:$B,0))</f>
        <v>250</v>
      </c>
      <c r="J91" s="20" t="n">
        <f aca="false">$H91*$I91</f>
        <v>2625</v>
      </c>
      <c r="K91" s="26" t="str">
        <f aca="false">INDEX(02_Massnahmenkatalog!$H:$H,MATCH($B91,02_Massnahmenkatalog!$B:$B,0))</f>
        <v>Nein</v>
      </c>
      <c r="L91" s="15"/>
      <c r="M91" s="15" t="n">
        <v>3</v>
      </c>
      <c r="N91" s="26" t="n">
        <f aca="false">INDEX(02_Massnahmenkatalog!$G:$G,MATCH($B91,02_Massnahmenkatalog!$B:$B,0))</f>
        <v>25</v>
      </c>
      <c r="O91" s="29" t="n">
        <f aca="false">INDEX(04_Nutzungsdauern!$C:$C,MATCH($M91,04_Nutzungsdauern!$B:$B,0))</f>
        <v>0.7</v>
      </c>
      <c r="P91" s="18" t="n">
        <f aca="false">$N91*$O91-(A_Jahr-IF($L91="",Obj_Baujahr,$L91))</f>
        <v>-40.5</v>
      </c>
      <c r="Q91" s="18" t="n">
        <f aca="false">A_Jahr+MAX(0,$P91)</f>
        <v>2026</v>
      </c>
      <c r="R91" s="15" t="s">
        <v>601</v>
      </c>
      <c r="S91" s="18" t="str">
        <f aca="false">IF($R91="Automatik",IF($Q91&lt;=A_Jahr+A_Horizont,"JA","NEIN"),IF(OR($R91="Sofort",$R91="In Horizont"),"JA","NEIN"))</f>
        <v>JA</v>
      </c>
      <c r="T91" s="16" t="n">
        <v>0</v>
      </c>
      <c r="U91" s="20" t="n">
        <f aca="false">IF(AND($K91="Ja",$S91="JA"),$J91*(1-$T91),0)</f>
        <v>0</v>
      </c>
      <c r="V91" s="30" t="str">
        <f aca="false">IF(AND($S91="NEIN",OR(AND(Obj_Zielstandard="EH 55 EE",$X91="Ja"),AND(Obj_Zielstandard="EH 40 EE",$Y91="Ja"))),"Pflicht bei Zielstandard, aber nicht aufgenommen","")</f>
        <v/>
      </c>
      <c r="W91" s="15"/>
      <c r="X91" s="26" t="str">
        <f aca="false">INDEX(02_Massnahmenkatalog!$J:$J,MATCH($B91,02_Massnahmenkatalog!$B:$B,0))</f>
        <v>Nein</v>
      </c>
      <c r="Y91" s="26" t="str">
        <f aca="false">INDEX(02_Massnahmenkatalog!$K:$K,MATCH($B91,02_Massnahmenkatalog!$B:$B,0))</f>
        <v>Nein</v>
      </c>
    </row>
    <row r="92" customFormat="false" ht="57.45" hidden="false" customHeight="false" outlineLevel="0" collapsed="false">
      <c r="B92" s="18" t="s">
        <v>376</v>
      </c>
      <c r="C92" s="26" t="str">
        <f aca="false">INDEX(02_Massnahmenkatalog!$C:$C,MATCH($B92,02_Massnahmenkatalog!$B:$B,0))</f>
        <v>Smart Home</v>
      </c>
      <c r="D92" s="27" t="str">
        <f aca="false">INDEX(02_Massnahmenkatalog!$D:$D,MATCH($B92,02_Massnahmenkatalog!$B:$B,0))</f>
        <v>Stufe 2 – KNX Basis (Licht, Rollladen, Heizungsaktorik, Server)</v>
      </c>
      <c r="E92" s="26" t="str">
        <f aca="false">INDEX(02_Massnahmenkatalog!$E:$E,MATCH($B92,02_Massnahmenkatalog!$B:$B,0))</f>
        <v>€/m² WF</v>
      </c>
      <c r="F92" s="18" t="n">
        <f aca="false">0</f>
        <v>0</v>
      </c>
      <c r="G92" s="15"/>
      <c r="H92" s="18" t="n">
        <f aca="false">IF($G92="",$F92,$G92)</f>
        <v>0</v>
      </c>
      <c r="I92" s="28" t="n">
        <f aca="false">INDEX(02_Massnahmenkatalog!$F:$F,MATCH($B92,02_Massnahmenkatalog!$B:$B,0))</f>
        <v>130</v>
      </c>
      <c r="J92" s="20" t="n">
        <f aca="false">$H92*$I92</f>
        <v>0</v>
      </c>
      <c r="K92" s="26" t="str">
        <f aca="false">INDEX(02_Massnahmenkatalog!$H:$H,MATCH($B92,02_Massnahmenkatalog!$B:$B,0))</f>
        <v>Nein</v>
      </c>
      <c r="L92" s="15"/>
      <c r="M92" s="15" t="n">
        <v>3</v>
      </c>
      <c r="N92" s="26" t="n">
        <f aca="false">INDEX(02_Massnahmenkatalog!$G:$G,MATCH($B92,02_Massnahmenkatalog!$B:$B,0))</f>
        <v>25</v>
      </c>
      <c r="O92" s="29" t="n">
        <f aca="false">INDEX(04_Nutzungsdauern!$C:$C,MATCH($M92,04_Nutzungsdauern!$B:$B,0))</f>
        <v>0.7</v>
      </c>
      <c r="P92" s="18" t="n">
        <f aca="false">$N92*$O92-(A_Jahr-IF($L92="",Obj_Baujahr,$L92))</f>
        <v>-40.5</v>
      </c>
      <c r="Q92" s="18" t="n">
        <f aca="false">A_Jahr+MAX(0,$P92)</f>
        <v>2026</v>
      </c>
      <c r="R92" s="15" t="s">
        <v>601</v>
      </c>
      <c r="S92" s="18" t="str">
        <f aca="false">IF($R92="Automatik",IF($Q92&lt;=A_Jahr+A_Horizont,"JA","NEIN"),IF(OR($R92="Sofort",$R92="In Horizont"),"JA","NEIN"))</f>
        <v>JA</v>
      </c>
      <c r="T92" s="16" t="n">
        <v>0</v>
      </c>
      <c r="U92" s="20" t="n">
        <f aca="false">IF(AND($K92="Ja",$S92="JA"),$J92*(1-$T92),0)</f>
        <v>0</v>
      </c>
      <c r="V92" s="30" t="str">
        <f aca="false">IF(AND($S92="NEIN",OR(AND(Obj_Zielstandard="EH 55 EE",$X92="Ja"),AND(Obj_Zielstandard="EH 40 EE",$Y92="Ja"))),"Pflicht bei Zielstandard, aber nicht aufgenommen","")</f>
        <v/>
      </c>
      <c r="W92" s="15"/>
      <c r="X92" s="26" t="str">
        <f aca="false">INDEX(02_Massnahmenkatalog!$J:$J,MATCH($B92,02_Massnahmenkatalog!$B:$B,0))</f>
        <v>Nein</v>
      </c>
      <c r="Y92" s="26" t="str">
        <f aca="false">INDEX(02_Massnahmenkatalog!$K:$K,MATCH($B92,02_Massnahmenkatalog!$B:$B,0))</f>
        <v>Nein</v>
      </c>
    </row>
    <row r="93" customFormat="false" ht="46.25" hidden="false" customHeight="false" outlineLevel="0" collapsed="false">
      <c r="B93" s="18" t="s">
        <v>380</v>
      </c>
      <c r="C93" s="26" t="str">
        <f aca="false">INDEX(02_Massnahmenkatalog!$C:$C,MATCH($B93,02_Massnahmenkatalog!$B:$B,0))</f>
        <v>Smart Home</v>
      </c>
      <c r="D93" s="27" t="str">
        <f aca="false">INDEX(02_Massnahmenkatalog!$D:$D,MATCH($B93,02_Massnahmenkatalog!$B:$B,0))</f>
        <v>Stufe 3 – KNX Vollausbau (Aufschlag auf Stufe 2)</v>
      </c>
      <c r="E93" s="26" t="str">
        <f aca="false">INDEX(02_Massnahmenkatalog!$E:$E,MATCH($B93,02_Massnahmenkatalog!$B:$B,0))</f>
        <v>€/m² WF Aufschlag</v>
      </c>
      <c r="F93" s="18" t="n">
        <f aca="false">0</f>
        <v>0</v>
      </c>
      <c r="G93" s="15"/>
      <c r="H93" s="18" t="n">
        <f aca="false">IF($G93="",$F93,$G93)</f>
        <v>0</v>
      </c>
      <c r="I93" s="28" t="n">
        <f aca="false">INDEX(02_Massnahmenkatalog!$F:$F,MATCH($B93,02_Massnahmenkatalog!$B:$B,0))</f>
        <v>100</v>
      </c>
      <c r="J93" s="20" t="n">
        <f aca="false">$H93*$I93</f>
        <v>0</v>
      </c>
      <c r="K93" s="26" t="str">
        <f aca="false">INDEX(02_Massnahmenkatalog!$H:$H,MATCH($B93,02_Massnahmenkatalog!$B:$B,0))</f>
        <v>Nein</v>
      </c>
      <c r="L93" s="15"/>
      <c r="M93" s="15" t="n">
        <v>3</v>
      </c>
      <c r="N93" s="26" t="n">
        <f aca="false">INDEX(02_Massnahmenkatalog!$G:$G,MATCH($B93,02_Massnahmenkatalog!$B:$B,0))</f>
        <v>25</v>
      </c>
      <c r="O93" s="29" t="n">
        <f aca="false">INDEX(04_Nutzungsdauern!$C:$C,MATCH($M93,04_Nutzungsdauern!$B:$B,0))</f>
        <v>0.7</v>
      </c>
      <c r="P93" s="18" t="n">
        <f aca="false">$N93*$O93-(A_Jahr-IF($L93="",Obj_Baujahr,$L93))</f>
        <v>-40.5</v>
      </c>
      <c r="Q93" s="18" t="n">
        <f aca="false">A_Jahr+MAX(0,$P93)</f>
        <v>2026</v>
      </c>
      <c r="R93" s="15" t="s">
        <v>601</v>
      </c>
      <c r="S93" s="18" t="str">
        <f aca="false">IF($R93="Automatik",IF($Q93&lt;=A_Jahr+A_Horizont,"JA","NEIN"),IF(OR($R93="Sofort",$R93="In Horizont"),"JA","NEIN"))</f>
        <v>JA</v>
      </c>
      <c r="T93" s="16" t="n">
        <v>0</v>
      </c>
      <c r="U93" s="20" t="n">
        <f aca="false">IF(AND($K93="Ja",$S93="JA"),$J93*(1-$T93),0)</f>
        <v>0</v>
      </c>
      <c r="V93" s="30" t="str">
        <f aca="false">IF(AND($S93="NEIN",OR(AND(Obj_Zielstandard="EH 55 EE",$X93="Ja"),AND(Obj_Zielstandard="EH 40 EE",$Y93="Ja"))),"Pflicht bei Zielstandard, aber nicht aufgenommen","")</f>
        <v/>
      </c>
      <c r="W93" s="15"/>
      <c r="X93" s="26" t="str">
        <f aca="false">INDEX(02_Massnahmenkatalog!$J:$J,MATCH($B93,02_Massnahmenkatalog!$B:$B,0))</f>
        <v>Nein</v>
      </c>
      <c r="Y93" s="26" t="str">
        <f aca="false">INDEX(02_Massnahmenkatalog!$K:$K,MATCH($B93,02_Massnahmenkatalog!$B:$B,0))</f>
        <v>Nein</v>
      </c>
    </row>
    <row r="94" customFormat="false" ht="23.85" hidden="false" customHeight="false" outlineLevel="0" collapsed="false">
      <c r="B94" s="18" t="s">
        <v>385</v>
      </c>
      <c r="C94" s="26" t="str">
        <f aca="false">INDEX(02_Massnahmenkatalog!$C:$C,MATCH($B94,02_Massnahmenkatalog!$B:$B,0))</f>
        <v>Außenanlagen</v>
      </c>
      <c r="D94" s="27" t="str">
        <f aca="false">INDEX(02_Massnahmenkatalog!$D:$D,MATCH($B94,02_Massnahmenkatalog!$B:$B,0))</f>
        <v>Zufahrt pflastern</v>
      </c>
      <c r="E94" s="26" t="str">
        <f aca="false">INDEX(02_Massnahmenkatalog!$E:$E,MATCH($B94,02_Massnahmenkatalog!$B:$B,0))</f>
        <v>€/m²</v>
      </c>
      <c r="F94" s="18" t="n">
        <f aca="false">0</f>
        <v>0</v>
      </c>
      <c r="G94" s="15"/>
      <c r="H94" s="18" t="n">
        <f aca="false">IF($G94="",$F94,$G94)</f>
        <v>0</v>
      </c>
      <c r="I94" s="28" t="n">
        <f aca="false">INDEX(02_Massnahmenkatalog!$F:$F,MATCH($B94,02_Massnahmenkatalog!$B:$B,0))</f>
        <v>120</v>
      </c>
      <c r="J94" s="20" t="n">
        <f aca="false">$H94*$I94</f>
        <v>0</v>
      </c>
      <c r="K94" s="26" t="str">
        <f aca="false">INDEX(02_Massnahmenkatalog!$H:$H,MATCH($B94,02_Massnahmenkatalog!$B:$B,0))</f>
        <v>Nein</v>
      </c>
      <c r="L94" s="15"/>
      <c r="M94" s="15" t="n">
        <v>3</v>
      </c>
      <c r="N94" s="26" t="n">
        <f aca="false">INDEX(02_Massnahmenkatalog!$G:$G,MATCH($B94,02_Massnahmenkatalog!$B:$B,0))</f>
        <v>36</v>
      </c>
      <c r="O94" s="29" t="n">
        <f aca="false">INDEX(04_Nutzungsdauern!$C:$C,MATCH($M94,04_Nutzungsdauern!$B:$B,0))</f>
        <v>0.7</v>
      </c>
      <c r="P94" s="18" t="n">
        <f aca="false">$N94*$O94-(A_Jahr-IF($L94="",Obj_Baujahr,$L94))</f>
        <v>-32.8</v>
      </c>
      <c r="Q94" s="18" t="n">
        <f aca="false">A_Jahr+MAX(0,$P94)</f>
        <v>2026</v>
      </c>
      <c r="R94" s="15" t="s">
        <v>601</v>
      </c>
      <c r="S94" s="18" t="str">
        <f aca="false">IF($R94="Automatik",IF($Q94&lt;=A_Jahr+A_Horizont,"JA","NEIN"),IF(OR($R94="Sofort",$R94="In Horizont"),"JA","NEIN"))</f>
        <v>JA</v>
      </c>
      <c r="T94" s="16" t="n">
        <v>0</v>
      </c>
      <c r="U94" s="20" t="n">
        <f aca="false">IF(AND($K94="Ja",$S94="JA"),$J94*(1-$T94),0)</f>
        <v>0</v>
      </c>
      <c r="V94" s="30" t="str">
        <f aca="false">IF(AND($S94="NEIN",OR(AND(Obj_Zielstandard="EH 55 EE",$X94="Ja"),AND(Obj_Zielstandard="EH 40 EE",$Y94="Ja"))),"Pflicht bei Zielstandard, aber nicht aufgenommen","")</f>
        <v/>
      </c>
      <c r="W94" s="15"/>
      <c r="X94" s="26" t="str">
        <f aca="false">INDEX(02_Massnahmenkatalog!$J:$J,MATCH($B94,02_Massnahmenkatalog!$B:$B,0))</f>
        <v>Nein</v>
      </c>
      <c r="Y94" s="26" t="str">
        <f aca="false">INDEX(02_Massnahmenkatalog!$K:$K,MATCH($B94,02_Massnahmenkatalog!$B:$B,0))</f>
        <v>Nein</v>
      </c>
    </row>
    <row r="95" customFormat="false" ht="15" hidden="false" customHeight="false" outlineLevel="0" collapsed="false">
      <c r="B95" s="18" t="s">
        <v>388</v>
      </c>
      <c r="C95" s="26" t="str">
        <f aca="false">INDEX(02_Massnahmenkatalog!$C:$C,MATCH($B95,02_Massnahmenkatalog!$B:$B,0))</f>
        <v>Außenanlagen</v>
      </c>
      <c r="D95" s="27" t="str">
        <f aca="false">INDEX(02_Massnahmenkatalog!$D:$D,MATCH($B95,02_Massnahmenkatalog!$B:$B,0))</f>
        <v>Terrasse</v>
      </c>
      <c r="E95" s="26" t="str">
        <f aca="false">INDEX(02_Massnahmenkatalog!$E:$E,MATCH($B95,02_Massnahmenkatalog!$B:$B,0))</f>
        <v>€/m²</v>
      </c>
      <c r="F95" s="18" t="n">
        <f aca="false">0</f>
        <v>0</v>
      </c>
      <c r="G95" s="15"/>
      <c r="H95" s="18" t="n">
        <f aca="false">IF($G95="",$F95,$G95)</f>
        <v>0</v>
      </c>
      <c r="I95" s="28" t="n">
        <f aca="false">INDEX(02_Massnahmenkatalog!$F:$F,MATCH($B95,02_Massnahmenkatalog!$B:$B,0))</f>
        <v>110</v>
      </c>
      <c r="J95" s="20" t="n">
        <f aca="false">$H95*$I95</f>
        <v>0</v>
      </c>
      <c r="K95" s="26" t="str">
        <f aca="false">INDEX(02_Massnahmenkatalog!$H:$H,MATCH($B95,02_Massnahmenkatalog!$B:$B,0))</f>
        <v>Nein</v>
      </c>
      <c r="L95" s="15"/>
      <c r="M95" s="15" t="n">
        <v>3</v>
      </c>
      <c r="N95" s="26" t="n">
        <f aca="false">INDEX(02_Massnahmenkatalog!$G:$G,MATCH($B95,02_Massnahmenkatalog!$B:$B,0))</f>
        <v>30</v>
      </c>
      <c r="O95" s="29" t="n">
        <f aca="false">INDEX(04_Nutzungsdauern!$C:$C,MATCH($M95,04_Nutzungsdauern!$B:$B,0))</f>
        <v>0.7</v>
      </c>
      <c r="P95" s="18" t="n">
        <f aca="false">$N95*$O95-(A_Jahr-IF($L95="",Obj_Baujahr,$L95))</f>
        <v>-37</v>
      </c>
      <c r="Q95" s="18" t="n">
        <f aca="false">A_Jahr+MAX(0,$P95)</f>
        <v>2026</v>
      </c>
      <c r="R95" s="15" t="s">
        <v>601</v>
      </c>
      <c r="S95" s="18" t="str">
        <f aca="false">IF($R95="Automatik",IF($Q95&lt;=A_Jahr+A_Horizont,"JA","NEIN"),IF(OR($R95="Sofort",$R95="In Horizont"),"JA","NEIN"))</f>
        <v>JA</v>
      </c>
      <c r="T95" s="16" t="n">
        <v>0</v>
      </c>
      <c r="U95" s="20" t="n">
        <f aca="false">IF(AND($K95="Ja",$S95="JA"),$J95*(1-$T95),0)</f>
        <v>0</v>
      </c>
      <c r="V95" s="30" t="str">
        <f aca="false">IF(AND($S95="NEIN",OR(AND(Obj_Zielstandard="EH 55 EE",$X95="Ja"),AND(Obj_Zielstandard="EH 40 EE",$Y95="Ja"))),"Pflicht bei Zielstandard, aber nicht aufgenommen","")</f>
        <v/>
      </c>
      <c r="W95" s="15"/>
      <c r="X95" s="26" t="str">
        <f aca="false">INDEX(02_Massnahmenkatalog!$J:$J,MATCH($B95,02_Massnahmenkatalog!$B:$B,0))</f>
        <v>Nein</v>
      </c>
      <c r="Y95" s="26" t="str">
        <f aca="false">INDEX(02_Massnahmenkatalog!$K:$K,MATCH($B95,02_Massnahmenkatalog!$B:$B,0))</f>
        <v>Nein</v>
      </c>
    </row>
    <row r="96" customFormat="false" ht="15" hidden="false" customHeight="false" outlineLevel="0" collapsed="false">
      <c r="B96" s="18" t="s">
        <v>390</v>
      </c>
      <c r="C96" s="26" t="str">
        <f aca="false">INDEX(02_Massnahmenkatalog!$C:$C,MATCH($B96,02_Massnahmenkatalog!$B:$B,0))</f>
        <v>Außenanlagen</v>
      </c>
      <c r="D96" s="27" t="str">
        <f aca="false">INDEX(02_Massnahmenkatalog!$D:$D,MATCH($B96,02_Massnahmenkatalog!$B:$B,0))</f>
        <v>Zaun</v>
      </c>
      <c r="E96" s="26" t="str">
        <f aca="false">INDEX(02_Massnahmenkatalog!$E:$E,MATCH($B96,02_Massnahmenkatalog!$B:$B,0))</f>
        <v>€/lfm</v>
      </c>
      <c r="F96" s="18" t="n">
        <f aca="false">0</f>
        <v>0</v>
      </c>
      <c r="G96" s="15"/>
      <c r="H96" s="18" t="n">
        <f aca="false">IF($G96="",$F96,$G96)</f>
        <v>0</v>
      </c>
      <c r="I96" s="28" t="n">
        <f aca="false">INDEX(02_Massnahmenkatalog!$F:$F,MATCH($B96,02_Massnahmenkatalog!$B:$B,0))</f>
        <v>60</v>
      </c>
      <c r="J96" s="20" t="n">
        <f aca="false">$H96*$I96</f>
        <v>0</v>
      </c>
      <c r="K96" s="26" t="str">
        <f aca="false">INDEX(02_Massnahmenkatalog!$H:$H,MATCH($B96,02_Massnahmenkatalog!$B:$B,0))</f>
        <v>Nein</v>
      </c>
      <c r="L96" s="15"/>
      <c r="M96" s="15" t="n">
        <v>3</v>
      </c>
      <c r="N96" s="26" t="n">
        <f aca="false">INDEX(02_Massnahmenkatalog!$G:$G,MATCH($B96,02_Massnahmenkatalog!$B:$B,0))</f>
        <v>25</v>
      </c>
      <c r="O96" s="29" t="n">
        <f aca="false">INDEX(04_Nutzungsdauern!$C:$C,MATCH($M96,04_Nutzungsdauern!$B:$B,0))</f>
        <v>0.7</v>
      </c>
      <c r="P96" s="18" t="n">
        <f aca="false">$N96*$O96-(A_Jahr-IF($L96="",Obj_Baujahr,$L96))</f>
        <v>-40.5</v>
      </c>
      <c r="Q96" s="18" t="n">
        <f aca="false">A_Jahr+MAX(0,$P96)</f>
        <v>2026</v>
      </c>
      <c r="R96" s="15" t="s">
        <v>601</v>
      </c>
      <c r="S96" s="18" t="str">
        <f aca="false">IF($R96="Automatik",IF($Q96&lt;=A_Jahr+A_Horizont,"JA","NEIN"),IF(OR($R96="Sofort",$R96="In Horizont"),"JA","NEIN"))</f>
        <v>JA</v>
      </c>
      <c r="T96" s="16" t="n">
        <v>0</v>
      </c>
      <c r="U96" s="20" t="n">
        <f aca="false">IF(AND($K96="Ja",$S96="JA"),$J96*(1-$T96),0)</f>
        <v>0</v>
      </c>
      <c r="V96" s="30" t="str">
        <f aca="false">IF(AND($S96="NEIN",OR(AND(Obj_Zielstandard="EH 55 EE",$X96="Ja"),AND(Obj_Zielstandard="EH 40 EE",$Y96="Ja"))),"Pflicht bei Zielstandard, aber nicht aufgenommen","")</f>
        <v/>
      </c>
      <c r="W96" s="15"/>
      <c r="X96" s="26" t="str">
        <f aca="false">INDEX(02_Massnahmenkatalog!$J:$J,MATCH($B96,02_Massnahmenkatalog!$B:$B,0))</f>
        <v>Nein</v>
      </c>
      <c r="Y96" s="26" t="str">
        <f aca="false">INDEX(02_Massnahmenkatalog!$K:$K,MATCH($B96,02_Massnahmenkatalog!$B:$B,0))</f>
        <v>Nein</v>
      </c>
    </row>
    <row r="97" customFormat="false" ht="23.85" hidden="false" customHeight="false" outlineLevel="0" collapsed="false">
      <c r="B97" s="18" t="s">
        <v>393</v>
      </c>
      <c r="C97" s="26" t="str">
        <f aca="false">INDEX(02_Massnahmenkatalog!$C:$C,MATCH($B97,02_Massnahmenkatalog!$B:$B,0))</f>
        <v>Außenanlagen</v>
      </c>
      <c r="D97" s="27" t="str">
        <f aca="false">INDEX(02_Massnahmenkatalog!$D:$D,MATCH($B97,02_Massnahmenkatalog!$B:$B,0))</f>
        <v>Garage/Carport</v>
      </c>
      <c r="E97" s="26" t="str">
        <f aca="false">INDEX(02_Massnahmenkatalog!$E:$E,MATCH($B97,02_Massnahmenkatalog!$B:$B,0))</f>
        <v>€ pauschal</v>
      </c>
      <c r="F97" s="18" t="n">
        <f aca="false">0</f>
        <v>0</v>
      </c>
      <c r="G97" s="15"/>
      <c r="H97" s="18" t="n">
        <f aca="false">IF($G97="",$F97,$G97)</f>
        <v>0</v>
      </c>
      <c r="I97" s="28" t="n">
        <f aca="false">INDEX(02_Massnahmenkatalog!$F:$F,MATCH($B97,02_Massnahmenkatalog!$B:$B,0))</f>
        <v>11000</v>
      </c>
      <c r="J97" s="20" t="n">
        <f aca="false">$H97*$I97</f>
        <v>0</v>
      </c>
      <c r="K97" s="26" t="str">
        <f aca="false">INDEX(02_Massnahmenkatalog!$H:$H,MATCH($B97,02_Massnahmenkatalog!$B:$B,0))</f>
        <v>Nein</v>
      </c>
      <c r="L97" s="15"/>
      <c r="M97" s="15" t="n">
        <v>3</v>
      </c>
      <c r="N97" s="26" t="n">
        <f aca="false">INDEX(02_Massnahmenkatalog!$G:$G,MATCH($B97,02_Massnahmenkatalog!$B:$B,0))</f>
        <v>40</v>
      </c>
      <c r="O97" s="29" t="n">
        <f aca="false">INDEX(04_Nutzungsdauern!$C:$C,MATCH($M97,04_Nutzungsdauern!$B:$B,0))</f>
        <v>0.7</v>
      </c>
      <c r="P97" s="18" t="n">
        <f aca="false">$N97*$O97-(A_Jahr-IF($L97="",Obj_Baujahr,$L97))</f>
        <v>-30</v>
      </c>
      <c r="Q97" s="18" t="n">
        <f aca="false">A_Jahr+MAX(0,$P97)</f>
        <v>2026</v>
      </c>
      <c r="R97" s="15" t="s">
        <v>601</v>
      </c>
      <c r="S97" s="18" t="str">
        <f aca="false">IF($R97="Automatik",IF($Q97&lt;=A_Jahr+A_Horizont,"JA","NEIN"),IF(OR($R97="Sofort",$R97="In Horizont"),"JA","NEIN"))</f>
        <v>JA</v>
      </c>
      <c r="T97" s="16" t="n">
        <v>0</v>
      </c>
      <c r="U97" s="20" t="n">
        <f aca="false">IF(AND($K97="Ja",$S97="JA"),$J97*(1-$T97),0)</f>
        <v>0</v>
      </c>
      <c r="V97" s="30" t="str">
        <f aca="false">IF(AND($S97="NEIN",OR(AND(Obj_Zielstandard="EH 55 EE",$X97="Ja"),AND(Obj_Zielstandard="EH 40 EE",$Y97="Ja"))),"Pflicht bei Zielstandard, aber nicht aufgenommen","")</f>
        <v/>
      </c>
      <c r="W97" s="15"/>
      <c r="X97" s="26" t="str">
        <f aca="false">INDEX(02_Massnahmenkatalog!$J:$J,MATCH($B97,02_Massnahmenkatalog!$B:$B,0))</f>
        <v>Nein</v>
      </c>
      <c r="Y97" s="26" t="str">
        <f aca="false">INDEX(02_Massnahmenkatalog!$K:$K,MATCH($B97,02_Massnahmenkatalog!$B:$B,0))</f>
        <v>Nein</v>
      </c>
    </row>
    <row r="98" customFormat="false" ht="23.85" hidden="false" customHeight="false" outlineLevel="0" collapsed="false">
      <c r="B98" s="18" t="s">
        <v>395</v>
      </c>
      <c r="C98" s="26" t="str">
        <f aca="false">INDEX(02_Massnahmenkatalog!$C:$C,MATCH($B98,02_Massnahmenkatalog!$B:$B,0))</f>
        <v>Weiche Kosten</v>
      </c>
      <c r="D98" s="27" t="str">
        <f aca="false">INDEX(02_Massnahmenkatalog!$D:$D,MATCH($B98,02_Massnahmenkatalog!$B:$B,0))</f>
        <v>Energieberatung + iSFP</v>
      </c>
      <c r="E98" s="26" t="str">
        <f aca="false">INDEX(02_Massnahmenkatalog!$E:$E,MATCH($B98,02_Massnahmenkatalog!$B:$B,0))</f>
        <v>€ pauschal</v>
      </c>
      <c r="F98" s="18" t="n">
        <f aca="false">1</f>
        <v>1</v>
      </c>
      <c r="G98" s="15"/>
      <c r="H98" s="18" t="n">
        <f aca="false">IF($G98="",$F98,$G98)</f>
        <v>1</v>
      </c>
      <c r="I98" s="28" t="n">
        <f aca="false">INDEX(02_Massnahmenkatalog!$F:$F,MATCH($B98,02_Massnahmenkatalog!$B:$B,0))</f>
        <v>1650</v>
      </c>
      <c r="J98" s="20" t="n">
        <f aca="false">$H98*$I98</f>
        <v>1650</v>
      </c>
      <c r="K98" s="26" t="str">
        <f aca="false">INDEX(02_Massnahmenkatalog!$H:$H,MATCH($B98,02_Massnahmenkatalog!$B:$B,0))</f>
        <v>Ja</v>
      </c>
      <c r="L98" s="15"/>
      <c r="M98" s="15" t="n">
        <v>3</v>
      </c>
      <c r="N98" s="26" t="n">
        <f aca="false">INDEX(02_Massnahmenkatalog!$G:$G,MATCH($B98,02_Massnahmenkatalog!$B:$B,0))</f>
        <v>0</v>
      </c>
      <c r="O98" s="29" t="n">
        <f aca="false">INDEX(04_Nutzungsdauern!$C:$C,MATCH($M98,04_Nutzungsdauern!$B:$B,0))</f>
        <v>0.7</v>
      </c>
      <c r="P98" s="18" t="n">
        <f aca="false">$N98*$O98-(A_Jahr-IF($L98="",Obj_Baujahr,$L98))</f>
        <v>-58</v>
      </c>
      <c r="Q98" s="18" t="n">
        <f aca="false">A_Jahr+MAX(0,$P98)</f>
        <v>2026</v>
      </c>
      <c r="R98" s="15" t="s">
        <v>601</v>
      </c>
      <c r="S98" s="18" t="str">
        <f aca="false">IF($R98="Automatik",IF($Q98&lt;=A_Jahr+A_Horizont,"JA","NEIN"),IF(OR($R98="Sofort",$R98="In Horizont"),"JA","NEIN"))</f>
        <v>JA</v>
      </c>
      <c r="T98" s="16" t="n">
        <v>0</v>
      </c>
      <c r="U98" s="20" t="n">
        <f aca="false">IF(AND($K98="Ja",$S98="JA"),$J98*(1-$T98),0)</f>
        <v>1650</v>
      </c>
      <c r="V98" s="30" t="str">
        <f aca="false">IF(AND($S98="NEIN",OR(AND(Obj_Zielstandard="EH 55 EE",$X98="Ja"),AND(Obj_Zielstandard="EH 40 EE",$Y98="Ja"))),"Pflicht bei Zielstandard, aber nicht aufgenommen","")</f>
        <v/>
      </c>
      <c r="W98" s="15"/>
      <c r="X98" s="26" t="str">
        <f aca="false">INDEX(02_Massnahmenkatalog!$J:$J,MATCH($B98,02_Massnahmenkatalog!$B:$B,0))</f>
        <v>Ja</v>
      </c>
      <c r="Y98" s="26" t="str">
        <f aca="false">INDEX(02_Massnahmenkatalog!$K:$K,MATCH($B98,02_Massnahmenkatalog!$B:$B,0))</f>
        <v>Ja</v>
      </c>
    </row>
    <row r="99" customFormat="false" ht="57.45" hidden="false" customHeight="false" outlineLevel="0" collapsed="false">
      <c r="B99" s="18" t="s">
        <v>400</v>
      </c>
      <c r="C99" s="26" t="str">
        <f aca="false">INDEX(02_Massnahmenkatalog!$C:$C,MATCH($B99,02_Massnahmenkatalog!$B:$B,0))</f>
        <v>Weiche Kosten</v>
      </c>
      <c r="D99" s="27" t="str">
        <f aca="false">INDEX(02_Massnahmenkatalog!$D:$D,MATCH($B99,02_Massnahmenkatalog!$B:$B,0))</f>
        <v>Fachplanung/Baubegleitung (EEE, Pflicht bei BEG-Antrag)</v>
      </c>
      <c r="E99" s="26" t="str">
        <f aca="false">INDEX(02_Massnahmenkatalog!$E:$E,MATCH($B99,02_Massnahmenkatalog!$B:$B,0))</f>
        <v>% der Sanierungssumme</v>
      </c>
      <c r="F99" s="18" t="n">
        <f aca="false">1</f>
        <v>1</v>
      </c>
      <c r="G99" s="15"/>
      <c r="H99" s="18" t="n">
        <f aca="false">IF($G99="",$F99,$G99)</f>
        <v>1</v>
      </c>
      <c r="I99" s="28" t="n">
        <f aca="false">0.03*(SUMIFS($J$51:$J$101,$C$51:$C$101,"Hülle")+SUMIFS($J$51:$J$101,$C$51:$C$101,"Anlagentechnik"))</f>
        <v>4450.52089029238</v>
      </c>
      <c r="J99" s="20" t="n">
        <f aca="false">$H99*$I99</f>
        <v>4450.52089029238</v>
      </c>
      <c r="K99" s="26" t="str">
        <f aca="false">INDEX(02_Massnahmenkatalog!$H:$H,MATCH($B99,02_Massnahmenkatalog!$B:$B,0))</f>
        <v>Ja</v>
      </c>
      <c r="L99" s="15"/>
      <c r="M99" s="15" t="n">
        <v>3</v>
      </c>
      <c r="N99" s="26" t="n">
        <f aca="false">INDEX(02_Massnahmenkatalog!$G:$G,MATCH($B99,02_Massnahmenkatalog!$B:$B,0))</f>
        <v>0</v>
      </c>
      <c r="O99" s="29" t="n">
        <f aca="false">INDEX(04_Nutzungsdauern!$C:$C,MATCH($M99,04_Nutzungsdauern!$B:$B,0))</f>
        <v>0.7</v>
      </c>
      <c r="P99" s="18" t="n">
        <f aca="false">$N99*$O99-(A_Jahr-IF($L99="",Obj_Baujahr,$L99))</f>
        <v>-58</v>
      </c>
      <c r="Q99" s="18" t="n">
        <f aca="false">A_Jahr+MAX(0,$P99)</f>
        <v>2026</v>
      </c>
      <c r="R99" s="15" t="s">
        <v>601</v>
      </c>
      <c r="S99" s="18" t="str">
        <f aca="false">IF($R99="Automatik",IF($Q99&lt;=A_Jahr+A_Horizont,"JA","NEIN"),IF(OR($R99="Sofort",$R99="In Horizont"),"JA","NEIN"))</f>
        <v>JA</v>
      </c>
      <c r="T99" s="16" t="n">
        <v>0</v>
      </c>
      <c r="U99" s="20" t="n">
        <f aca="false">IF(AND($K99="Ja",$S99="JA"),$J99*(1-$T99),0)</f>
        <v>4450.52089029238</v>
      </c>
      <c r="V99" s="30" t="str">
        <f aca="false">IF(AND($S99="NEIN",OR(AND(Obj_Zielstandard="EH 55 EE",$X99="Ja"),AND(Obj_Zielstandard="EH 40 EE",$Y99="Ja"))),"Pflicht bei Zielstandard, aber nicht aufgenommen","")</f>
        <v/>
      </c>
      <c r="W99" s="15"/>
      <c r="X99" s="26" t="str">
        <f aca="false">INDEX(02_Massnahmenkatalog!$J:$J,MATCH($B99,02_Massnahmenkatalog!$B:$B,0))</f>
        <v>Ja</v>
      </c>
      <c r="Y99" s="26" t="str">
        <f aca="false">INDEX(02_Massnahmenkatalog!$K:$K,MATCH($B99,02_Massnahmenkatalog!$B:$B,0))</f>
        <v>Ja</v>
      </c>
    </row>
    <row r="100" customFormat="false" ht="57.45" hidden="false" customHeight="false" outlineLevel="0" collapsed="false">
      <c r="B100" s="18" t="s">
        <v>405</v>
      </c>
      <c r="C100" s="26" t="str">
        <f aca="false">INDEX(02_Massnahmenkatalog!$C:$C,MATCH($B100,02_Massnahmenkatalog!$B:$B,0))</f>
        <v>Weiche Kosten</v>
      </c>
      <c r="D100" s="27" t="str">
        <f aca="false">INDEX(02_Massnahmenkatalog!$D:$D,MATCH($B100,02_Massnahmenkatalog!$B:$B,0))</f>
        <v>Statiker (nur bei Grundrissänderung/Dachausbau)</v>
      </c>
      <c r="E100" s="26" t="str">
        <f aca="false">INDEX(02_Massnahmenkatalog!$E:$E,MATCH($B100,02_Massnahmenkatalog!$B:$B,0))</f>
        <v>€ pauschal</v>
      </c>
      <c r="F100" s="18" t="n">
        <f aca="false">0</f>
        <v>0</v>
      </c>
      <c r="G100" s="15"/>
      <c r="H100" s="18" t="n">
        <f aca="false">IF($G100="",$F100,$G100)</f>
        <v>0</v>
      </c>
      <c r="I100" s="28" t="n">
        <f aca="false">INDEX(02_Massnahmenkatalog!$F:$F,MATCH($B100,02_Massnahmenkatalog!$B:$B,0))</f>
        <v>1900</v>
      </c>
      <c r="J100" s="20" t="n">
        <f aca="false">$H100*$I100</f>
        <v>0</v>
      </c>
      <c r="K100" s="26" t="str">
        <f aca="false">INDEX(02_Massnahmenkatalog!$H:$H,MATCH($B100,02_Massnahmenkatalog!$B:$B,0))</f>
        <v>Nein</v>
      </c>
      <c r="L100" s="15"/>
      <c r="M100" s="15" t="n">
        <v>3</v>
      </c>
      <c r="N100" s="26" t="n">
        <f aca="false">INDEX(02_Massnahmenkatalog!$G:$G,MATCH($B100,02_Massnahmenkatalog!$B:$B,0))</f>
        <v>0</v>
      </c>
      <c r="O100" s="29" t="n">
        <f aca="false">INDEX(04_Nutzungsdauern!$C:$C,MATCH($M100,04_Nutzungsdauern!$B:$B,0))</f>
        <v>0.7</v>
      </c>
      <c r="P100" s="18" t="n">
        <f aca="false">$N100*$O100-(A_Jahr-IF($L100="",Obj_Baujahr,$L100))</f>
        <v>-58</v>
      </c>
      <c r="Q100" s="18" t="n">
        <f aca="false">A_Jahr+MAX(0,$P100)</f>
        <v>2026</v>
      </c>
      <c r="R100" s="15" t="s">
        <v>601</v>
      </c>
      <c r="S100" s="18" t="str">
        <f aca="false">IF($R100="Automatik",IF($Q100&lt;=A_Jahr+A_Horizont,"JA","NEIN"),IF(OR($R100="Sofort",$R100="In Horizont"),"JA","NEIN"))</f>
        <v>JA</v>
      </c>
      <c r="T100" s="16" t="n">
        <v>0</v>
      </c>
      <c r="U100" s="20" t="n">
        <f aca="false">IF(AND($K100="Ja",$S100="JA"),$J100*(1-$T100),0)</f>
        <v>0</v>
      </c>
      <c r="V100" s="30" t="str">
        <f aca="false">IF(AND($S100="NEIN",OR(AND(Obj_Zielstandard="EH 55 EE",$X100="Ja"),AND(Obj_Zielstandard="EH 40 EE",$Y100="Ja"))),"Pflicht bei Zielstandard, aber nicht aufgenommen","")</f>
        <v/>
      </c>
      <c r="W100" s="15"/>
      <c r="X100" s="26" t="str">
        <f aca="false">INDEX(02_Massnahmenkatalog!$J:$J,MATCH($B100,02_Massnahmenkatalog!$B:$B,0))</f>
        <v>Nein</v>
      </c>
      <c r="Y100" s="26" t="str">
        <f aca="false">INDEX(02_Massnahmenkatalog!$K:$K,MATCH($B100,02_Massnahmenkatalog!$B:$B,0))</f>
        <v>Nein</v>
      </c>
    </row>
    <row r="101" customFormat="false" ht="23.85" hidden="false" customHeight="false" outlineLevel="0" collapsed="false">
      <c r="B101" s="18" t="s">
        <v>407</v>
      </c>
      <c r="C101" s="26" t="str">
        <f aca="false">INDEX(02_Massnahmenkatalog!$C:$C,MATCH($B101,02_Massnahmenkatalog!$B:$B,0))</f>
        <v>Weiche Kosten</v>
      </c>
      <c r="D101" s="27" t="str">
        <f aca="false">INDEX(02_Massnahmenkatalog!$D:$D,MATCH($B101,02_Massnahmenkatalog!$B:$B,0))</f>
        <v>Bauantrag/Genehmigung</v>
      </c>
      <c r="E101" s="26" t="str">
        <f aca="false">INDEX(02_Massnahmenkatalog!$E:$E,MATCH($B101,02_Massnahmenkatalog!$B:$B,0))</f>
        <v>€ pauschal</v>
      </c>
      <c r="F101" s="18" t="n">
        <f aca="false">0</f>
        <v>0</v>
      </c>
      <c r="G101" s="15"/>
      <c r="H101" s="18" t="n">
        <f aca="false">IF($G101="",$F101,$G101)</f>
        <v>0</v>
      </c>
      <c r="I101" s="28" t="n">
        <f aca="false">INDEX(02_Massnahmenkatalog!$F:$F,MATCH($B101,02_Massnahmenkatalog!$B:$B,0))</f>
        <v>1700</v>
      </c>
      <c r="J101" s="20" t="n">
        <f aca="false">$H101*$I101</f>
        <v>0</v>
      </c>
      <c r="K101" s="26" t="str">
        <f aca="false">INDEX(02_Massnahmenkatalog!$H:$H,MATCH($B101,02_Massnahmenkatalog!$B:$B,0))</f>
        <v>Nein</v>
      </c>
      <c r="L101" s="15"/>
      <c r="M101" s="15" t="n">
        <v>3</v>
      </c>
      <c r="N101" s="26" t="n">
        <f aca="false">INDEX(02_Massnahmenkatalog!$G:$G,MATCH($B101,02_Massnahmenkatalog!$B:$B,0))</f>
        <v>0</v>
      </c>
      <c r="O101" s="29" t="n">
        <f aca="false">INDEX(04_Nutzungsdauern!$C:$C,MATCH($M101,04_Nutzungsdauern!$B:$B,0))</f>
        <v>0.7</v>
      </c>
      <c r="P101" s="18" t="n">
        <f aca="false">$N101*$O101-(A_Jahr-IF($L101="",Obj_Baujahr,$L101))</f>
        <v>-58</v>
      </c>
      <c r="Q101" s="18" t="n">
        <f aca="false">A_Jahr+MAX(0,$P101)</f>
        <v>2026</v>
      </c>
      <c r="R101" s="15" t="s">
        <v>601</v>
      </c>
      <c r="S101" s="18" t="str">
        <f aca="false">IF($R101="Automatik",IF($Q101&lt;=A_Jahr+A_Horizont,"JA","NEIN"),IF(OR($R101="Sofort",$R101="In Horizont"),"JA","NEIN"))</f>
        <v>JA</v>
      </c>
      <c r="T101" s="16" t="n">
        <v>0</v>
      </c>
      <c r="U101" s="20" t="n">
        <f aca="false">IF(AND($K101="Ja",$S101="JA"),$J101*(1-$T101),0)</f>
        <v>0</v>
      </c>
      <c r="V101" s="30" t="str">
        <f aca="false">IF(AND($S101="NEIN",OR(AND(Obj_Zielstandard="EH 55 EE",$X101="Ja"),AND(Obj_Zielstandard="EH 40 EE",$Y101="Ja"))),"Pflicht bei Zielstandard, aber nicht aufgenommen","")</f>
        <v/>
      </c>
      <c r="W101" s="15"/>
      <c r="X101" s="26" t="str">
        <f aca="false">INDEX(02_Massnahmenkatalog!$J:$J,MATCH($B101,02_Massnahmenkatalog!$B:$B,0))</f>
        <v>Nein</v>
      </c>
      <c r="Y101" s="26" t="str">
        <f aca="false">INDEX(02_Massnahmenkatalog!$K:$K,MATCH($B101,02_Massnahmenkatalog!$B:$B,0))</f>
        <v>Nein</v>
      </c>
    </row>
    <row r="103" customFormat="false" ht="15" hidden="false" customHeight="false" outlineLevel="0" collapsed="false">
      <c r="B103" s="14" t="s">
        <v>602</v>
      </c>
      <c r="C103" s="14"/>
      <c r="D103" s="14"/>
      <c r="E103" s="14"/>
    </row>
    <row r="104" customFormat="false" ht="23.85" hidden="false" customHeight="false" outlineLevel="0" collapsed="false">
      <c r="B104" s="11" t="s">
        <v>224</v>
      </c>
      <c r="C104" s="11" t="s">
        <v>603</v>
      </c>
      <c r="D104" s="11" t="s">
        <v>604</v>
      </c>
    </row>
    <row r="105" customFormat="false" ht="15" hidden="false" customHeight="false" outlineLevel="0" collapsed="false">
      <c r="B105" s="4" t="s">
        <v>235</v>
      </c>
      <c r="C105" s="31" t="n">
        <f aca="false">SUMIFS($J$51:$J$101,$C$51:$C$101,"Hülle",$S$51:$S$101,"JA")</f>
        <v>92591.3117276947</v>
      </c>
      <c r="D105" s="31" t="n">
        <f aca="false">SUMIFS($U$51:$U$101,$C$51:$C$101,"Hülle",$S$51:$S$101,"JA")</f>
        <v>89891.3117276947</v>
      </c>
    </row>
    <row r="106" customFormat="false" ht="15" hidden="false" customHeight="false" outlineLevel="0" collapsed="false">
      <c r="B106" s="4" t="s">
        <v>280</v>
      </c>
      <c r="C106" s="31" t="n">
        <f aca="false">SUMIFS($J$51:$J$101,$C$51:$C$101,"Anlagentechnik",$S$51:$S$101,"JA")</f>
        <v>55759.3846153846</v>
      </c>
      <c r="D106" s="31" t="n">
        <f aca="false">SUMIFS($U$51:$U$101,$C$51:$C$101,"Anlagentechnik",$S$51:$S$101,"JA")</f>
        <v>49559.3846153846</v>
      </c>
    </row>
    <row r="107" customFormat="false" ht="15" hidden="false" customHeight="false" outlineLevel="0" collapsed="false">
      <c r="B107" s="4" t="s">
        <v>307</v>
      </c>
      <c r="C107" s="31" t="n">
        <f aca="false">SUMIFS($J$51:$J$101,$C$51:$C$101,"Elektro/Innenausbau",$S$51:$S$101,"JA")</f>
        <v>79559.6408244921</v>
      </c>
      <c r="D107" s="31" t="n">
        <f aca="false">SUMIFS($U$51:$U$101,$C$51:$C$101,"Elektro/Innenausbau",$S$51:$S$101,"JA")</f>
        <v>0</v>
      </c>
    </row>
    <row r="108" customFormat="false" ht="15" hidden="false" customHeight="false" outlineLevel="0" collapsed="false">
      <c r="B108" s="4" t="s">
        <v>337</v>
      </c>
      <c r="C108" s="31" t="n">
        <f aca="false">SUMIFS($J$51:$J$101,$C$51:$C$101,"Risiko/Schadstoff",$S$51:$S$101,"JA")</f>
        <v>13024</v>
      </c>
      <c r="D108" s="31" t="n">
        <f aca="false">SUMIFS($U$51:$U$101,$C$51:$C$101,"Risiko/Schadstoff",$S$51:$S$101,"JA")</f>
        <v>0</v>
      </c>
    </row>
    <row r="109" customFormat="false" ht="15" hidden="false" customHeight="false" outlineLevel="0" collapsed="false">
      <c r="B109" s="4" t="s">
        <v>232</v>
      </c>
      <c r="C109" s="31" t="n">
        <f aca="false">SUMIFS($J$51:$J$101,$C$51:$C$101,"Klimaneutralität",$S$51:$S$101,"JA")</f>
        <v>23848.1818181818</v>
      </c>
      <c r="D109" s="31" t="n">
        <f aca="false">SUMIFS($U$51:$U$101,$C$51:$C$101,"Klimaneutralität",$S$51:$S$101,"JA")</f>
        <v>1500</v>
      </c>
    </row>
    <row r="110" customFormat="false" ht="15" hidden="false" customHeight="false" outlineLevel="0" collapsed="false">
      <c r="B110" s="4" t="s">
        <v>372</v>
      </c>
      <c r="C110" s="31" t="n">
        <f aca="false">SUMIFS($J$51:$J$101,$C$51:$C$101,"Smart Home",$S$51:$S$101,"JA")</f>
        <v>2625</v>
      </c>
      <c r="D110" s="31" t="n">
        <f aca="false">SUMIFS($U$51:$U$101,$C$51:$C$101,"Smart Home",$S$51:$S$101,"JA")</f>
        <v>0</v>
      </c>
    </row>
    <row r="111" customFormat="false" ht="15" hidden="false" customHeight="false" outlineLevel="0" collapsed="false">
      <c r="B111" s="4" t="s">
        <v>386</v>
      </c>
      <c r="C111" s="31" t="n">
        <f aca="false">SUMIFS($J$51:$J$101,$C$51:$C$101,"Außenanlagen",$S$51:$S$101,"JA")</f>
        <v>0</v>
      </c>
      <c r="D111" s="31" t="n">
        <f aca="false">SUMIFS($U$51:$U$101,$C$51:$C$101,"Außenanlagen",$S$51:$S$101,"JA")</f>
        <v>0</v>
      </c>
    </row>
    <row r="112" customFormat="false" ht="15" hidden="false" customHeight="false" outlineLevel="0" collapsed="false">
      <c r="B112" s="4" t="s">
        <v>396</v>
      </c>
      <c r="C112" s="31" t="n">
        <f aca="false">SUMIFS($J$51:$J$101,$C$51:$C$101,"Weiche Kosten",$S$51:$S$101,"JA")</f>
        <v>6100.52089029238</v>
      </c>
      <c r="D112" s="31" t="n">
        <f aca="false">SUMIFS($U$51:$U$101,$C$51:$C$101,"Weiche Kosten",$S$51:$S$101,"JA")</f>
        <v>6100.52089029238</v>
      </c>
    </row>
    <row r="113" customFormat="false" ht="15" hidden="false" customHeight="false" outlineLevel="0" collapsed="false">
      <c r="B113" s="32" t="s">
        <v>605</v>
      </c>
      <c r="C113" s="33" t="n">
        <f aca="false">SUM(C105:C112)</f>
        <v>273508.039876046</v>
      </c>
      <c r="D113" s="33" t="n">
        <f aca="false">SUM(D105:D112)</f>
        <v>147051.217233372</v>
      </c>
    </row>
    <row r="115" customFormat="false" ht="15" hidden="false" customHeight="false" outlineLevel="0" collapsed="false">
      <c r="B115" s="4" t="s">
        <v>606</v>
      </c>
      <c r="C115" s="34" t="n">
        <f aca="false">SUMPRODUCT($J$51:$J$101,$T$51:$T$101)/MAX(C113,1)</f>
        <v>0</v>
      </c>
    </row>
  </sheetData>
  <autoFilter ref="B50:W101"/>
  <mergeCells count="4">
    <mergeCell ref="B3:E3"/>
    <mergeCell ref="B34:E34"/>
    <mergeCell ref="B49:U49"/>
    <mergeCell ref="B103:E103"/>
  </mergeCells>
  <conditionalFormatting sqref="S51:S101">
    <cfRule type="cellIs" priority="2" operator="equal" aboveAverage="0" equalAverage="0" bottom="0" percent="0" rank="0" text="" dxfId="9">
      <formula>"JA"</formula>
    </cfRule>
  </conditionalFormatting>
  <conditionalFormatting sqref="V51:V101">
    <cfRule type="expression" priority="3" aboveAverage="0" equalAverage="0" bottom="0" percent="0" rank="0" text="" dxfId="10">
      <formula>V51&lt;&gt;""</formula>
    </cfRule>
  </conditionalFormatting>
  <dataValidations count="113">
    <dataValidation allowBlank="true" errorStyle="stop" operator="between" showDropDown="false" showErrorMessage="false" showInputMessage="false" sqref="C14" type="list">
      <formula1>"Kein Keller,Teilkeller,Vollkeller"</formula1>
      <formula2>0</formula2>
    </dataValidation>
    <dataValidation allowBlank="true" errorStyle="stop" operator="between" showDropDown="false" showErrorMessage="false" showInputMessage="false" sqref="C15" type="list">
      <formula1>"Satteldach,Flachdach,Walmdach"</formula1>
      <formula2>0</formula2>
    </dataValidation>
    <dataValidation allowBlank="true" errorStyle="stop" operator="between" showDropDown="false" showErrorMessage="false" showInputMessage="false" sqref="C16" type="list">
      <formula1>"Ja,Nein"</formula1>
      <formula2>0</formula2>
    </dataValidation>
    <dataValidation allowBlank="true" errorStyle="stop" operator="between" showDropDown="false" showErrorMessage="false" showInputMessage="false" sqref="C18" type="list">
      <formula1>"Gasheizung,Ölheizung,Nachtspeicher,Fernwärme,Wärmepumpe,Sonstige"</formula1>
      <formula2>0</formula2>
    </dataValidation>
    <dataValidation allowBlank="true" errorStyle="stop" operator="between" showDropDown="false" showErrorMessage="false" showInputMessage="false" sqref="C20" type="list">
      <formula1>"Ja,Nein"</formula1>
      <formula2>0</formula2>
    </dataValidation>
    <dataValidation allowBlank="true" errorStyle="stop" operator="between" showDropDown="false" showErrorMessage="false" showInputMessage="false" sqref="C21" type="list">
      <formula1>"EH 55 EE,EH 40 EE,Nur Einzelmaßnahmen"</formula1>
      <formula2>0</formula2>
    </dataValidation>
    <dataValidation allowBlank="true" errorStyle="stop" operator="between" showDropDown="false" showErrorMessage="false" showInputMessage="false" sqref="C22" type="list">
      <formula1>"Ja,Nein"</formula1>
      <formula2>0</formula2>
    </dataValidation>
    <dataValidation allowBlank="true" errorStyle="stop" operator="between" showDropDown="false" showErrorMessage="false" showInputMessage="false" sqref="C23" type="list">
      <formula1>"Automatik (Empfehlung),Weg A (Effizienzhaus),Weg B (Einzelmaßnahmen)"</formula1>
      <formula2>0</formula2>
    </dataValidation>
    <dataValidation allowBlank="true" errorStyle="stop" operator="between" showDropDown="false" showErrorMessage="false" showInputMessage="false" sqref="C24" type="list">
      <formula1>"Ja,Nein"</formula1>
      <formula2>0</formula2>
    </dataValidation>
    <dataValidation allowBlank="true" errorStyle="stop" operator="between" showDropDown="false" showErrorMessage="false" showInputMessage="false" sqref="C28" type="list">
      <formula1>"Ja,Nein"</formula1>
      <formula2>0</formula2>
    </dataValidation>
    <dataValidation allowBlank="true" errorStyle="stop" operator="between" showDropDown="false" showErrorMessage="false" showInputMessage="false" sqref="C31" type="list">
      <formula1>"Süd,Ost-West"</formula1>
      <formula2>0</formula2>
    </dataValidation>
    <dataValidation allowBlank="true" errorStyle="stop" operator="between" showDropDown="false" showErrorMessage="false" showInputMessage="false" sqref="M51" type="list">
      <formula1>"1,2,3,4,5"</formula1>
      <formula2>0</formula2>
    </dataValidation>
    <dataValidation allowBlank="true" errorStyle="stop" operator="between" showDropDown="false" showErrorMessage="false" showInputMessage="false" sqref="R51" type="list">
      <formula1>"Automatik,Sofort,In Horizont,Später,Entfällt"</formula1>
      <formula2>0</formula2>
    </dataValidation>
    <dataValidation allowBlank="true" errorStyle="stop" operator="between" showDropDown="false" showErrorMessage="false" showInputMessage="false" sqref="M52" type="list">
      <formula1>"1,2,3,4,5"</formula1>
      <formula2>0</formula2>
    </dataValidation>
    <dataValidation allowBlank="true" errorStyle="stop" operator="between" showDropDown="false" showErrorMessage="false" showInputMessage="false" sqref="R52" type="list">
      <formula1>"Automatik,Sofort,In Horizont,Später,Entfällt"</formula1>
      <formula2>0</formula2>
    </dataValidation>
    <dataValidation allowBlank="true" errorStyle="stop" operator="between" showDropDown="false" showErrorMessage="false" showInputMessage="false" sqref="M53" type="list">
      <formula1>"1,2,3,4,5"</formula1>
      <formula2>0</formula2>
    </dataValidation>
    <dataValidation allowBlank="true" errorStyle="stop" operator="between" showDropDown="false" showErrorMessage="false" showInputMessage="false" sqref="R53" type="list">
      <formula1>"Automatik,Sofort,In Horizont,Später,Entfällt"</formula1>
      <formula2>0</formula2>
    </dataValidation>
    <dataValidation allowBlank="true" errorStyle="stop" operator="between" showDropDown="false" showErrorMessage="false" showInputMessage="false" sqref="M54" type="list">
      <formula1>"1,2,3,4,5"</formula1>
      <formula2>0</formula2>
    </dataValidation>
    <dataValidation allowBlank="true" errorStyle="stop" operator="between" showDropDown="false" showErrorMessage="false" showInputMessage="false" sqref="R54" type="list">
      <formula1>"Automatik,Sofort,In Horizont,Später,Entfällt"</formula1>
      <formula2>0</formula2>
    </dataValidation>
    <dataValidation allowBlank="true" errorStyle="stop" operator="between" showDropDown="false" showErrorMessage="false" showInputMessage="false" sqref="M55" type="list">
      <formula1>"1,2,3,4,5"</formula1>
      <formula2>0</formula2>
    </dataValidation>
    <dataValidation allowBlank="true" errorStyle="stop" operator="between" showDropDown="false" showErrorMessage="false" showInputMessage="false" sqref="R55" type="list">
      <formula1>"Automatik,Sofort,In Horizont,Später,Entfällt"</formula1>
      <formula2>0</formula2>
    </dataValidation>
    <dataValidation allowBlank="true" errorStyle="stop" operator="between" showDropDown="false" showErrorMessage="false" showInputMessage="false" sqref="M56" type="list">
      <formula1>"1,2,3,4,5"</formula1>
      <formula2>0</formula2>
    </dataValidation>
    <dataValidation allowBlank="true" errorStyle="stop" operator="between" showDropDown="false" showErrorMessage="false" showInputMessage="false" sqref="R56" type="list">
      <formula1>"Automatik,Sofort,In Horizont,Später,Entfällt"</formula1>
      <formula2>0</formula2>
    </dataValidation>
    <dataValidation allowBlank="true" errorStyle="stop" operator="between" showDropDown="false" showErrorMessage="false" showInputMessage="false" sqref="M57" type="list">
      <formula1>"1,2,3,4,5"</formula1>
      <formula2>0</formula2>
    </dataValidation>
    <dataValidation allowBlank="true" errorStyle="stop" operator="between" showDropDown="false" showErrorMessage="false" showInputMessage="false" sqref="R57" type="list">
      <formula1>"Automatik,Sofort,In Horizont,Später,Entfällt"</formula1>
      <formula2>0</formula2>
    </dataValidation>
    <dataValidation allowBlank="true" errorStyle="stop" operator="between" showDropDown="false" showErrorMessage="false" showInputMessage="false" sqref="M58" type="list">
      <formula1>"1,2,3,4,5"</formula1>
      <formula2>0</formula2>
    </dataValidation>
    <dataValidation allowBlank="true" errorStyle="stop" operator="between" showDropDown="false" showErrorMessage="false" showInputMessage="false" sqref="R58" type="list">
      <formula1>"Automatik,Sofort,In Horizont,Später,Entfällt"</formula1>
      <formula2>0</formula2>
    </dataValidation>
    <dataValidation allowBlank="true" errorStyle="stop" operator="between" showDropDown="false" showErrorMessage="false" showInputMessage="false" sqref="M59" type="list">
      <formula1>"1,2,3,4,5"</formula1>
      <formula2>0</formula2>
    </dataValidation>
    <dataValidation allowBlank="true" errorStyle="stop" operator="between" showDropDown="false" showErrorMessage="false" showInputMessage="false" sqref="R59" type="list">
      <formula1>"Automatik,Sofort,In Horizont,Später,Entfällt"</formula1>
      <formula2>0</formula2>
    </dataValidation>
    <dataValidation allowBlank="true" errorStyle="stop" operator="between" showDropDown="false" showErrorMessage="false" showInputMessage="false" sqref="M60" type="list">
      <formula1>"1,2,3,4,5"</formula1>
      <formula2>0</formula2>
    </dataValidation>
    <dataValidation allowBlank="true" errorStyle="stop" operator="between" showDropDown="false" showErrorMessage="false" showInputMessage="false" sqref="R60" type="list">
      <formula1>"Automatik,Sofort,In Horizont,Später,Entfällt"</formula1>
      <formula2>0</formula2>
    </dataValidation>
    <dataValidation allowBlank="true" errorStyle="stop" operator="between" showDropDown="false" showErrorMessage="false" showInputMessage="false" sqref="M61" type="list">
      <formula1>"1,2,3,4,5"</formula1>
      <formula2>0</formula2>
    </dataValidation>
    <dataValidation allowBlank="true" errorStyle="stop" operator="between" showDropDown="false" showErrorMessage="false" showInputMessage="false" sqref="R61" type="list">
      <formula1>"Automatik,Sofort,In Horizont,Später,Entfällt"</formula1>
      <formula2>0</formula2>
    </dataValidation>
    <dataValidation allowBlank="true" errorStyle="stop" operator="between" showDropDown="false" showErrorMessage="false" showInputMessage="false" sqref="M62" type="list">
      <formula1>"1,2,3,4,5"</formula1>
      <formula2>0</formula2>
    </dataValidation>
    <dataValidation allowBlank="true" errorStyle="stop" operator="between" showDropDown="false" showErrorMessage="false" showInputMessage="false" sqref="R62" type="list">
      <formula1>"Automatik,Sofort,In Horizont,Später,Entfällt"</formula1>
      <formula2>0</formula2>
    </dataValidation>
    <dataValidation allowBlank="true" errorStyle="stop" operator="between" showDropDown="false" showErrorMessage="false" showInputMessage="false" sqref="M63" type="list">
      <formula1>"1,2,3,4,5"</formula1>
      <formula2>0</formula2>
    </dataValidation>
    <dataValidation allowBlank="true" errorStyle="stop" operator="between" showDropDown="false" showErrorMessage="false" showInputMessage="false" sqref="R63" type="list">
      <formula1>"Automatik,Sofort,In Horizont,Später,Entfällt"</formula1>
      <formula2>0</formula2>
    </dataValidation>
    <dataValidation allowBlank="true" errorStyle="stop" operator="between" showDropDown="false" showErrorMessage="false" showInputMessage="false" sqref="M64" type="list">
      <formula1>"1,2,3,4,5"</formula1>
      <formula2>0</formula2>
    </dataValidation>
    <dataValidation allowBlank="true" errorStyle="stop" operator="between" showDropDown="false" showErrorMessage="false" showInputMessage="false" sqref="R64" type="list">
      <formula1>"Automatik,Sofort,In Horizont,Später,Entfällt"</formula1>
      <formula2>0</formula2>
    </dataValidation>
    <dataValidation allowBlank="true" errorStyle="stop" operator="between" showDropDown="false" showErrorMessage="false" showInputMessage="false" sqref="M65" type="list">
      <formula1>"1,2,3,4,5"</formula1>
      <formula2>0</formula2>
    </dataValidation>
    <dataValidation allowBlank="true" errorStyle="stop" operator="between" showDropDown="false" showErrorMessage="false" showInputMessage="false" sqref="R65" type="list">
      <formula1>"Automatik,Sofort,In Horizont,Später,Entfällt"</formula1>
      <formula2>0</formula2>
    </dataValidation>
    <dataValidation allowBlank="true" errorStyle="stop" operator="between" showDropDown="false" showErrorMessage="false" showInputMessage="false" sqref="M66" type="list">
      <formula1>"1,2,3,4,5"</formula1>
      <formula2>0</formula2>
    </dataValidation>
    <dataValidation allowBlank="true" errorStyle="stop" operator="between" showDropDown="false" showErrorMessage="false" showInputMessage="false" sqref="R66" type="list">
      <formula1>"Automatik,Sofort,In Horizont,Später,Entfällt"</formula1>
      <formula2>0</formula2>
    </dataValidation>
    <dataValidation allowBlank="true" errorStyle="stop" operator="between" showDropDown="false" showErrorMessage="false" showInputMessage="false" sqref="M67" type="list">
      <formula1>"1,2,3,4,5"</formula1>
      <formula2>0</formula2>
    </dataValidation>
    <dataValidation allowBlank="true" errorStyle="stop" operator="between" showDropDown="false" showErrorMessage="false" showInputMessage="false" sqref="R67" type="list">
      <formula1>"Automatik,Sofort,In Horizont,Später,Entfällt"</formula1>
      <formula2>0</formula2>
    </dataValidation>
    <dataValidation allowBlank="true" errorStyle="stop" operator="between" showDropDown="false" showErrorMessage="false" showInputMessage="false" sqref="M68" type="list">
      <formula1>"1,2,3,4,5"</formula1>
      <formula2>0</formula2>
    </dataValidation>
    <dataValidation allowBlank="true" errorStyle="stop" operator="between" showDropDown="false" showErrorMessage="false" showInputMessage="false" sqref="R68" type="list">
      <formula1>"Automatik,Sofort,In Horizont,Später,Entfällt"</formula1>
      <formula2>0</formula2>
    </dataValidation>
    <dataValidation allowBlank="true" errorStyle="stop" operator="between" showDropDown="false" showErrorMessage="false" showInputMessage="false" sqref="M69" type="list">
      <formula1>"1,2,3,4,5"</formula1>
      <formula2>0</formula2>
    </dataValidation>
    <dataValidation allowBlank="true" errorStyle="stop" operator="between" showDropDown="false" showErrorMessage="false" showInputMessage="false" sqref="R69" type="list">
      <formula1>"Automatik,Sofort,In Horizont,Später,Entfällt"</formula1>
      <formula2>0</formula2>
    </dataValidation>
    <dataValidation allowBlank="true" errorStyle="stop" operator="between" showDropDown="false" showErrorMessage="false" showInputMessage="false" sqref="M70" type="list">
      <formula1>"1,2,3,4,5"</formula1>
      <formula2>0</formula2>
    </dataValidation>
    <dataValidation allowBlank="true" errorStyle="stop" operator="between" showDropDown="false" showErrorMessage="false" showInputMessage="false" sqref="R70" type="list">
      <formula1>"Automatik,Sofort,In Horizont,Später,Entfällt"</formula1>
      <formula2>0</formula2>
    </dataValidation>
    <dataValidation allowBlank="true" errorStyle="stop" operator="between" showDropDown="false" showErrorMessage="false" showInputMessage="false" sqref="M71" type="list">
      <formula1>"1,2,3,4,5"</formula1>
      <formula2>0</formula2>
    </dataValidation>
    <dataValidation allowBlank="true" errorStyle="stop" operator="between" showDropDown="false" showErrorMessage="false" showInputMessage="false" sqref="R71" type="list">
      <formula1>"Automatik,Sofort,In Horizont,Später,Entfällt"</formula1>
      <formula2>0</formula2>
    </dataValidation>
    <dataValidation allowBlank="true" errorStyle="stop" operator="between" showDropDown="false" showErrorMessage="false" showInputMessage="false" sqref="M72" type="list">
      <formula1>"1,2,3,4,5"</formula1>
      <formula2>0</formula2>
    </dataValidation>
    <dataValidation allowBlank="true" errorStyle="stop" operator="between" showDropDown="false" showErrorMessage="false" showInputMessage="false" sqref="R72" type="list">
      <formula1>"Automatik,Sofort,In Horizont,Später,Entfällt"</formula1>
      <formula2>0</formula2>
    </dataValidation>
    <dataValidation allowBlank="true" errorStyle="stop" operator="between" showDropDown="false" showErrorMessage="false" showInputMessage="false" sqref="M73" type="list">
      <formula1>"1,2,3,4,5"</formula1>
      <formula2>0</formula2>
    </dataValidation>
    <dataValidation allowBlank="true" errorStyle="stop" operator="between" showDropDown="false" showErrorMessage="false" showInputMessage="false" sqref="R73" type="list">
      <formula1>"Automatik,Sofort,In Horizont,Später,Entfällt"</formula1>
      <formula2>0</formula2>
    </dataValidation>
    <dataValidation allowBlank="true" errorStyle="stop" operator="between" showDropDown="false" showErrorMessage="false" showInputMessage="false" sqref="M74" type="list">
      <formula1>"1,2,3,4,5"</formula1>
      <formula2>0</formula2>
    </dataValidation>
    <dataValidation allowBlank="true" errorStyle="stop" operator="between" showDropDown="false" showErrorMessage="false" showInputMessage="false" sqref="R74" type="list">
      <formula1>"Automatik,Sofort,In Horizont,Später,Entfällt"</formula1>
      <formula2>0</formula2>
    </dataValidation>
    <dataValidation allowBlank="true" errorStyle="stop" operator="between" showDropDown="false" showErrorMessage="false" showInputMessage="false" sqref="M75" type="list">
      <formula1>"1,2,3,4,5"</formula1>
      <formula2>0</formula2>
    </dataValidation>
    <dataValidation allowBlank="true" errorStyle="stop" operator="between" showDropDown="false" showErrorMessage="false" showInputMessage="false" sqref="R75" type="list">
      <formula1>"Automatik,Sofort,In Horizont,Später,Entfällt"</formula1>
      <formula2>0</formula2>
    </dataValidation>
    <dataValidation allowBlank="true" errorStyle="stop" operator="between" showDropDown="false" showErrorMessage="false" showInputMessage="false" sqref="M76" type="list">
      <formula1>"1,2,3,4,5"</formula1>
      <formula2>0</formula2>
    </dataValidation>
    <dataValidation allowBlank="true" errorStyle="stop" operator="between" showDropDown="false" showErrorMessage="false" showInputMessage="false" sqref="R76" type="list">
      <formula1>"Automatik,Sofort,In Horizont,Später,Entfällt"</formula1>
      <formula2>0</formula2>
    </dataValidation>
    <dataValidation allowBlank="true" errorStyle="stop" operator="between" showDropDown="false" showErrorMessage="false" showInputMessage="false" sqref="M77" type="list">
      <formula1>"1,2,3,4,5"</formula1>
      <formula2>0</formula2>
    </dataValidation>
    <dataValidation allowBlank="true" errorStyle="stop" operator="between" showDropDown="false" showErrorMessage="false" showInputMessage="false" sqref="R77" type="list">
      <formula1>"Automatik,Sofort,In Horizont,Später,Entfällt"</formula1>
      <formula2>0</formula2>
    </dataValidation>
    <dataValidation allowBlank="true" errorStyle="stop" operator="between" showDropDown="false" showErrorMessage="false" showInputMessage="false" sqref="M78" type="list">
      <formula1>"1,2,3,4,5"</formula1>
      <formula2>0</formula2>
    </dataValidation>
    <dataValidation allowBlank="true" errorStyle="stop" operator="between" showDropDown="false" showErrorMessage="false" showInputMessage="false" sqref="R78" type="list">
      <formula1>"Automatik,Sofort,In Horizont,Später,Entfällt"</formula1>
      <formula2>0</formula2>
    </dataValidation>
    <dataValidation allowBlank="true" errorStyle="stop" operator="between" showDropDown="false" showErrorMessage="false" showInputMessage="false" sqref="M79" type="list">
      <formula1>"1,2,3,4,5"</formula1>
      <formula2>0</formula2>
    </dataValidation>
    <dataValidation allowBlank="true" errorStyle="stop" operator="between" showDropDown="false" showErrorMessage="false" showInputMessage="false" sqref="R79" type="list">
      <formula1>"Automatik,Sofort,In Horizont,Später,Entfällt"</formula1>
      <formula2>0</formula2>
    </dataValidation>
    <dataValidation allowBlank="true" errorStyle="stop" operator="between" showDropDown="false" showErrorMessage="false" showInputMessage="false" sqref="M80" type="list">
      <formula1>"1,2,3,4,5"</formula1>
      <formula2>0</formula2>
    </dataValidation>
    <dataValidation allowBlank="true" errorStyle="stop" operator="between" showDropDown="false" showErrorMessage="false" showInputMessage="false" sqref="R80" type="list">
      <formula1>"Automatik,Sofort,In Horizont,Später,Entfällt"</formula1>
      <formula2>0</formula2>
    </dataValidation>
    <dataValidation allowBlank="true" errorStyle="stop" operator="between" showDropDown="false" showErrorMessage="false" showInputMessage="false" sqref="M81" type="list">
      <formula1>"1,2,3,4,5"</formula1>
      <formula2>0</formula2>
    </dataValidation>
    <dataValidation allowBlank="true" errorStyle="stop" operator="between" showDropDown="false" showErrorMessage="false" showInputMessage="false" sqref="R81" type="list">
      <formula1>"Automatik,Sofort,In Horizont,Später,Entfällt"</formula1>
      <formula2>0</formula2>
    </dataValidation>
    <dataValidation allowBlank="true" errorStyle="stop" operator="between" showDropDown="false" showErrorMessage="false" showInputMessage="false" sqref="M82" type="list">
      <formula1>"1,2,3,4,5"</formula1>
      <formula2>0</formula2>
    </dataValidation>
    <dataValidation allowBlank="true" errorStyle="stop" operator="between" showDropDown="false" showErrorMessage="false" showInputMessage="false" sqref="R82" type="list">
      <formula1>"Automatik,Sofort,In Horizont,Später,Entfällt"</formula1>
      <formula2>0</formula2>
    </dataValidation>
    <dataValidation allowBlank="true" errorStyle="stop" operator="between" showDropDown="false" showErrorMessage="false" showInputMessage="false" sqref="M83" type="list">
      <formula1>"1,2,3,4,5"</formula1>
      <formula2>0</formula2>
    </dataValidation>
    <dataValidation allowBlank="true" errorStyle="stop" operator="between" showDropDown="false" showErrorMessage="false" showInputMessage="false" sqref="R83" type="list">
      <formula1>"Automatik,Sofort,In Horizont,Später,Entfällt"</formula1>
      <formula2>0</formula2>
    </dataValidation>
    <dataValidation allowBlank="true" errorStyle="stop" operator="between" showDropDown="false" showErrorMessage="false" showInputMessage="false" sqref="M84" type="list">
      <formula1>"1,2,3,4,5"</formula1>
      <formula2>0</formula2>
    </dataValidation>
    <dataValidation allowBlank="true" errorStyle="stop" operator="between" showDropDown="false" showErrorMessage="false" showInputMessage="false" sqref="R84" type="list">
      <formula1>"Automatik,Sofort,In Horizont,Später,Entfällt"</formula1>
      <formula2>0</formula2>
    </dataValidation>
    <dataValidation allowBlank="true" errorStyle="stop" operator="between" showDropDown="false" showErrorMessage="false" showInputMessage="false" sqref="M85" type="list">
      <formula1>"1,2,3,4,5"</formula1>
      <formula2>0</formula2>
    </dataValidation>
    <dataValidation allowBlank="true" errorStyle="stop" operator="between" showDropDown="false" showErrorMessage="false" showInputMessage="false" sqref="R85" type="list">
      <formula1>"Automatik,Sofort,In Horizont,Später,Entfällt"</formula1>
      <formula2>0</formula2>
    </dataValidation>
    <dataValidation allowBlank="true" errorStyle="stop" operator="between" showDropDown="false" showErrorMessage="false" showInputMessage="false" sqref="M86" type="list">
      <formula1>"1,2,3,4,5"</formula1>
      <formula2>0</formula2>
    </dataValidation>
    <dataValidation allowBlank="true" errorStyle="stop" operator="between" showDropDown="false" showErrorMessage="false" showInputMessage="false" sqref="R86" type="list">
      <formula1>"Automatik,Sofort,In Horizont,Später,Entfällt"</formula1>
      <formula2>0</formula2>
    </dataValidation>
    <dataValidation allowBlank="true" errorStyle="stop" operator="between" showDropDown="false" showErrorMessage="false" showInputMessage="false" sqref="M87" type="list">
      <formula1>"1,2,3,4,5"</formula1>
      <formula2>0</formula2>
    </dataValidation>
    <dataValidation allowBlank="true" errorStyle="stop" operator="between" showDropDown="false" showErrorMessage="false" showInputMessage="false" sqref="R87" type="list">
      <formula1>"Automatik,Sofort,In Horizont,Später,Entfällt"</formula1>
      <formula2>0</formula2>
    </dataValidation>
    <dataValidation allowBlank="true" errorStyle="stop" operator="between" showDropDown="false" showErrorMessage="false" showInputMessage="false" sqref="M88" type="list">
      <formula1>"1,2,3,4,5"</formula1>
      <formula2>0</formula2>
    </dataValidation>
    <dataValidation allowBlank="true" errorStyle="stop" operator="between" showDropDown="false" showErrorMessage="false" showInputMessage="false" sqref="R88" type="list">
      <formula1>"Automatik,Sofort,In Horizont,Später,Entfällt"</formula1>
      <formula2>0</formula2>
    </dataValidation>
    <dataValidation allowBlank="true" errorStyle="stop" operator="between" showDropDown="false" showErrorMessage="false" showInputMessage="false" sqref="M89" type="list">
      <formula1>"1,2,3,4,5"</formula1>
      <formula2>0</formula2>
    </dataValidation>
    <dataValidation allowBlank="true" errorStyle="stop" operator="between" showDropDown="false" showErrorMessage="false" showInputMessage="false" sqref="R89" type="list">
      <formula1>"Automatik,Sofort,In Horizont,Später,Entfällt"</formula1>
      <formula2>0</formula2>
    </dataValidation>
    <dataValidation allowBlank="true" errorStyle="stop" operator="between" showDropDown="false" showErrorMessage="false" showInputMessage="false" sqref="M90" type="list">
      <formula1>"1,2,3,4,5"</formula1>
      <formula2>0</formula2>
    </dataValidation>
    <dataValidation allowBlank="true" errorStyle="stop" operator="between" showDropDown="false" showErrorMessage="false" showInputMessage="false" sqref="R90" type="list">
      <formula1>"Automatik,Sofort,In Horizont,Später,Entfällt"</formula1>
      <formula2>0</formula2>
    </dataValidation>
    <dataValidation allowBlank="true" errorStyle="stop" operator="between" showDropDown="false" showErrorMessage="false" showInputMessage="false" sqref="M91" type="list">
      <formula1>"1,2,3,4,5"</formula1>
      <formula2>0</formula2>
    </dataValidation>
    <dataValidation allowBlank="true" errorStyle="stop" operator="between" showDropDown="false" showErrorMessage="false" showInputMessage="false" sqref="R91" type="list">
      <formula1>"Automatik,Sofort,In Horizont,Später,Entfällt"</formula1>
      <formula2>0</formula2>
    </dataValidation>
    <dataValidation allowBlank="true" errorStyle="stop" operator="between" showDropDown="false" showErrorMessage="false" showInputMessage="false" sqref="M92" type="list">
      <formula1>"1,2,3,4,5"</formula1>
      <formula2>0</formula2>
    </dataValidation>
    <dataValidation allowBlank="true" errorStyle="stop" operator="between" showDropDown="false" showErrorMessage="false" showInputMessage="false" sqref="R92" type="list">
      <formula1>"Automatik,Sofort,In Horizont,Später,Entfällt"</formula1>
      <formula2>0</formula2>
    </dataValidation>
    <dataValidation allowBlank="true" errorStyle="stop" operator="between" showDropDown="false" showErrorMessage="false" showInputMessage="false" sqref="M93" type="list">
      <formula1>"1,2,3,4,5"</formula1>
      <formula2>0</formula2>
    </dataValidation>
    <dataValidation allowBlank="true" errorStyle="stop" operator="between" showDropDown="false" showErrorMessage="false" showInputMessage="false" sqref="R93" type="list">
      <formula1>"Automatik,Sofort,In Horizont,Später,Entfällt"</formula1>
      <formula2>0</formula2>
    </dataValidation>
    <dataValidation allowBlank="true" errorStyle="stop" operator="between" showDropDown="false" showErrorMessage="false" showInputMessage="false" sqref="M94" type="list">
      <formula1>"1,2,3,4,5"</formula1>
      <formula2>0</formula2>
    </dataValidation>
    <dataValidation allowBlank="true" errorStyle="stop" operator="between" showDropDown="false" showErrorMessage="false" showInputMessage="false" sqref="R94" type="list">
      <formula1>"Automatik,Sofort,In Horizont,Später,Entfällt"</formula1>
      <formula2>0</formula2>
    </dataValidation>
    <dataValidation allowBlank="true" errorStyle="stop" operator="between" showDropDown="false" showErrorMessage="false" showInputMessage="false" sqref="M95" type="list">
      <formula1>"1,2,3,4,5"</formula1>
      <formula2>0</formula2>
    </dataValidation>
    <dataValidation allowBlank="true" errorStyle="stop" operator="between" showDropDown="false" showErrorMessage="false" showInputMessage="false" sqref="R95" type="list">
      <formula1>"Automatik,Sofort,In Horizont,Später,Entfällt"</formula1>
      <formula2>0</formula2>
    </dataValidation>
    <dataValidation allowBlank="true" errorStyle="stop" operator="between" showDropDown="false" showErrorMessage="false" showInputMessage="false" sqref="M96" type="list">
      <formula1>"1,2,3,4,5"</formula1>
      <formula2>0</formula2>
    </dataValidation>
    <dataValidation allowBlank="true" errorStyle="stop" operator="between" showDropDown="false" showErrorMessage="false" showInputMessage="false" sqref="R96" type="list">
      <formula1>"Automatik,Sofort,In Horizont,Später,Entfällt"</formula1>
      <formula2>0</formula2>
    </dataValidation>
    <dataValidation allowBlank="true" errorStyle="stop" operator="between" showDropDown="false" showErrorMessage="false" showInputMessage="false" sqref="M97" type="list">
      <formula1>"1,2,3,4,5"</formula1>
      <formula2>0</formula2>
    </dataValidation>
    <dataValidation allowBlank="true" errorStyle="stop" operator="between" showDropDown="false" showErrorMessage="false" showInputMessage="false" sqref="R97" type="list">
      <formula1>"Automatik,Sofort,In Horizont,Später,Entfällt"</formula1>
      <formula2>0</formula2>
    </dataValidation>
    <dataValidation allowBlank="true" errorStyle="stop" operator="between" showDropDown="false" showErrorMessage="false" showInputMessage="false" sqref="M98" type="list">
      <formula1>"1,2,3,4,5"</formula1>
      <formula2>0</formula2>
    </dataValidation>
    <dataValidation allowBlank="true" errorStyle="stop" operator="between" showDropDown="false" showErrorMessage="false" showInputMessage="false" sqref="R98" type="list">
      <formula1>"Automatik,Sofort,In Horizont,Später,Entfällt"</formula1>
      <formula2>0</formula2>
    </dataValidation>
    <dataValidation allowBlank="true" errorStyle="stop" operator="between" showDropDown="false" showErrorMessage="false" showInputMessage="false" sqref="M99" type="list">
      <formula1>"1,2,3,4,5"</formula1>
      <formula2>0</formula2>
    </dataValidation>
    <dataValidation allowBlank="true" errorStyle="stop" operator="between" showDropDown="false" showErrorMessage="false" showInputMessage="false" sqref="R99" type="list">
      <formula1>"Automatik,Sofort,In Horizont,Später,Entfällt"</formula1>
      <formula2>0</formula2>
    </dataValidation>
    <dataValidation allowBlank="true" errorStyle="stop" operator="between" showDropDown="false" showErrorMessage="false" showInputMessage="false" sqref="M100" type="list">
      <formula1>"1,2,3,4,5"</formula1>
      <formula2>0</formula2>
    </dataValidation>
    <dataValidation allowBlank="true" errorStyle="stop" operator="between" showDropDown="false" showErrorMessage="false" showInputMessage="false" sqref="R100" type="list">
      <formula1>"Automatik,Sofort,In Horizont,Später,Entfällt"</formula1>
      <formula2>0</formula2>
    </dataValidation>
    <dataValidation allowBlank="true" errorStyle="stop" operator="between" showDropDown="false" showErrorMessage="false" showInputMessage="false" sqref="M101" type="list">
      <formula1>"1,2,3,4,5"</formula1>
      <formula2>0</formula2>
    </dataValidation>
    <dataValidation allowBlank="true" errorStyle="stop" operator="between" showDropDown="false" showErrorMessage="false" showInputMessage="false" sqref="R101" type="list">
      <formula1>"Automatik,Sofort,In Horizont,Später,Entfällt"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20"/>
  </cols>
  <sheetData>
    <row r="1" customFormat="false" ht="17.35" hidden="false" customHeight="false" outlineLevel="0" collapsed="false">
      <c r="B1" s="1" t="s">
        <v>607</v>
      </c>
    </row>
    <row r="3" customFormat="false" ht="15" hidden="false" customHeight="false" outlineLevel="0" collapsed="false">
      <c r="B3" s="14" t="s">
        <v>608</v>
      </c>
      <c r="C3" s="14"/>
      <c r="D3" s="14"/>
      <c r="E3" s="14"/>
    </row>
    <row r="4" customFormat="false" ht="15" hidden="false" customHeight="false" outlineLevel="0" collapsed="false">
      <c r="B4" s="4" t="s">
        <v>529</v>
      </c>
      <c r="C4" s="13" t="n">
        <f aca="false">10_Beispiel_Rahden!$C$8</f>
        <v>195000</v>
      </c>
    </row>
    <row r="5" customFormat="false" ht="15" hidden="false" customHeight="false" outlineLevel="0" collapsed="false">
      <c r="B5" s="4" t="s">
        <v>609</v>
      </c>
      <c r="C5" s="31" t="n">
        <f aca="false">C4*A_GrESt</f>
        <v>12675</v>
      </c>
    </row>
    <row r="6" customFormat="false" ht="15" hidden="false" customHeight="false" outlineLevel="0" collapsed="false">
      <c r="B6" s="4" t="s">
        <v>610</v>
      </c>
      <c r="C6" s="31" t="n">
        <f aca="false">C4*A_Notar</f>
        <v>3510</v>
      </c>
    </row>
    <row r="7" customFormat="false" ht="15" hidden="false" customHeight="false" outlineLevel="0" collapsed="false">
      <c r="B7" s="4" t="s">
        <v>611</v>
      </c>
      <c r="C7" s="31" t="n">
        <f aca="false">IF(10_Beispiel_Rahden!$C$24="Ja",C4*A_Makler,0)</f>
        <v>0</v>
      </c>
    </row>
    <row r="8" customFormat="false" ht="15" hidden="false" customHeight="false" outlineLevel="0" collapsed="false">
      <c r="B8" s="32" t="s">
        <v>612</v>
      </c>
      <c r="C8" s="33" t="n">
        <f aca="false">SUM(C4:C7)</f>
        <v>211185</v>
      </c>
    </row>
    <row r="10" customFormat="false" ht="15" hidden="false" customHeight="false" outlineLevel="0" collapsed="false">
      <c r="B10" s="14" t="s">
        <v>613</v>
      </c>
      <c r="C10" s="14"/>
      <c r="D10" s="14"/>
      <c r="E10" s="14"/>
    </row>
    <row r="11" customFormat="false" ht="15" hidden="false" customHeight="false" outlineLevel="0" collapsed="false">
      <c r="B11" s="4" t="s">
        <v>614</v>
      </c>
      <c r="C11" s="13" t="n">
        <f aca="false">10_Beispiel_Rahden!$C$113</f>
        <v>273508.039876046</v>
      </c>
    </row>
    <row r="12" customFormat="false" ht="15" hidden="false" customHeight="false" outlineLevel="0" collapsed="false">
      <c r="B12" s="4" t="s">
        <v>615</v>
      </c>
      <c r="C12" s="31" t="n">
        <f aca="false">C11*A_Puffer</f>
        <v>32820.9647851255</v>
      </c>
    </row>
    <row r="13" customFormat="false" ht="15" hidden="false" customHeight="false" outlineLevel="0" collapsed="false">
      <c r="B13" s="32" t="s">
        <v>616</v>
      </c>
      <c r="C13" s="33" t="n">
        <f aca="false">C11+C12</f>
        <v>306329.004661171</v>
      </c>
    </row>
    <row r="15" customFormat="false" ht="15" hidden="false" customHeight="false" outlineLevel="0" collapsed="false">
      <c r="B15" s="14" t="s">
        <v>617</v>
      </c>
      <c r="C15" s="14"/>
      <c r="D15" s="14"/>
      <c r="E15" s="14"/>
    </row>
    <row r="16" customFormat="false" ht="15" hidden="false" customHeight="false" outlineLevel="0" collapsed="false">
      <c r="B16" s="4" t="s">
        <v>618</v>
      </c>
      <c r="C16" s="12" t="str">
        <f aca="false">10_Beispiel_Rahden!$C$21</f>
        <v>EH 40 EE</v>
      </c>
    </row>
    <row r="18" customFormat="false" ht="15" hidden="false" customHeight="false" outlineLevel="0" collapsed="false">
      <c r="B18" s="21" t="s">
        <v>619</v>
      </c>
    </row>
    <row r="19" customFormat="false" ht="15" hidden="false" customHeight="false" outlineLevel="0" collapsed="false">
      <c r="B19" s="4" t="s">
        <v>620</v>
      </c>
      <c r="C19" s="31" t="n">
        <f aca="false">MIN(C13,150000)</f>
        <v>150000</v>
      </c>
    </row>
    <row r="20" customFormat="false" ht="15" hidden="false" customHeight="false" outlineLevel="0" collapsed="false">
      <c r="B20" s="4" t="s">
        <v>621</v>
      </c>
      <c r="C20" s="34" t="n">
        <f aca="false">IF(C16="EH 40 EE",0.1,IF(C16="EH 55 EE",0.05,0))</f>
        <v>0.1</v>
      </c>
    </row>
    <row r="21" customFormat="false" ht="15" hidden="false" customHeight="false" outlineLevel="0" collapsed="false">
      <c r="B21" s="4" t="s">
        <v>622</v>
      </c>
      <c r="C21" s="31" t="n">
        <f aca="false">C19*C20</f>
        <v>15000</v>
      </c>
    </row>
    <row r="22" customFormat="false" ht="15" hidden="false" customHeight="false" outlineLevel="0" collapsed="false">
      <c r="B22" s="4" t="s">
        <v>623</v>
      </c>
      <c r="C22" s="31" t="n">
        <f aca="false">MAX(0,A_Zins_80-A_Zins_KfW261)*C19*A_Zinsbindung</f>
        <v>13500</v>
      </c>
    </row>
    <row r="23" customFormat="false" ht="15" hidden="false" customHeight="false" outlineLevel="0" collapsed="false">
      <c r="B23" s="32" t="s">
        <v>624</v>
      </c>
      <c r="C23" s="33" t="n">
        <f aca="false">C21+C22</f>
        <v>28500</v>
      </c>
    </row>
    <row r="25" customFormat="false" ht="15" hidden="false" customHeight="false" outlineLevel="0" collapsed="false">
      <c r="B25" s="21" t="s">
        <v>625</v>
      </c>
    </row>
    <row r="26" customFormat="false" ht="15" hidden="false" customHeight="false" outlineLevel="0" collapsed="false">
      <c r="B26" s="4" t="s">
        <v>626</v>
      </c>
      <c r="C26" s="13" t="n">
        <f aca="false">10_Beispiel_Rahden!$D$105+10_Beispiel_Rahden!$D$106+10_Beispiel_Rahden!$D$109+10_Beispiel_Rahden!$D$110-(SUMIFS(10_Beispiel_Rahden!$U$51:$U$101,10_Beispiel_Rahden!$B$51:$B$101,"A01",10_Beispiel_Rahden!$S$51:$S$101,"JA")+SUMIFS(10_Beispiel_Rahden!$U$51:$U$101,10_Beispiel_Rahden!$B$51:$B$101,"A02",10_Beispiel_Rahden!$S$51:$S$101,"JA"))</f>
        <v>119835.311727695</v>
      </c>
    </row>
    <row r="27" customFormat="false" ht="15" hidden="false" customHeight="false" outlineLevel="0" collapsed="false">
      <c r="B27" s="4" t="s">
        <v>627</v>
      </c>
      <c r="C27" s="31" t="n">
        <f aca="false">IF(10_Beispiel_Rahden!$C$22="Ja",60000,30000)</f>
        <v>60000</v>
      </c>
    </row>
    <row r="28" customFormat="false" ht="15" hidden="false" customHeight="false" outlineLevel="0" collapsed="false">
      <c r="B28" s="4" t="s">
        <v>628</v>
      </c>
      <c r="C28" s="34" t="n">
        <f aca="false">IF(10_Beispiel_Rahden!$C$22="Ja",0.2,0.15)</f>
        <v>0.2</v>
      </c>
    </row>
    <row r="29" customFormat="false" ht="15" hidden="false" customHeight="false" outlineLevel="0" collapsed="false">
      <c r="B29" s="4" t="s">
        <v>629</v>
      </c>
      <c r="C29" s="31" t="n">
        <f aca="false">MIN(C26,C27)*C28</f>
        <v>12000</v>
      </c>
    </row>
    <row r="30" customFormat="false" ht="15" hidden="false" customHeight="false" outlineLevel="0" collapsed="false">
      <c r="B30" s="4" t="s">
        <v>630</v>
      </c>
      <c r="C30" s="13" t="n">
        <f aca="false">SUMIFS(10_Beispiel_Rahden!$U$51:$U$101,10_Beispiel_Rahden!$B$51:$B$101,"A01",10_Beispiel_Rahden!$S$51:$S$101,"JA")+SUMIFS(10_Beispiel_Rahden!$U$51:$U$101,10_Beispiel_Rahden!$B$51:$B$101,"A02",10_Beispiel_Rahden!$S$51:$S$101,"JA")</f>
        <v>21115.3846153846</v>
      </c>
    </row>
    <row r="31" customFormat="false" ht="15" hidden="false" customHeight="false" outlineLevel="0" collapsed="false">
      <c r="B31" s="4" t="s">
        <v>631</v>
      </c>
      <c r="C31" s="34" t="n">
        <f aca="false">IF(A_Einkommen&lt;=30000,0.4,IF(A_Einkommen&lt;=40000,0.3,IF(A_Einkommen&lt;=50000,0.1,0)))</f>
        <v>0</v>
      </c>
    </row>
    <row r="32" customFormat="false" ht="15" hidden="false" customHeight="false" outlineLevel="0" collapsed="false">
      <c r="B32" s="4" t="s">
        <v>632</v>
      </c>
      <c r="C32" s="34" t="n">
        <f aca="false">MIN(0.3+0.16+C31,IF(A_Einkommen&lt;=30000,0.8,0.7))</f>
        <v>0.46</v>
      </c>
    </row>
    <row r="33" customFormat="false" ht="15" hidden="false" customHeight="false" outlineLevel="0" collapsed="false">
      <c r="B33" s="4" t="s">
        <v>633</v>
      </c>
      <c r="C33" s="31" t="n">
        <f aca="false">MIN(C30,28000)*C32</f>
        <v>9713.07692307692</v>
      </c>
    </row>
    <row r="34" customFormat="false" ht="15" hidden="false" customHeight="false" outlineLevel="0" collapsed="false">
      <c r="B34" s="4" t="s">
        <v>634</v>
      </c>
      <c r="C34" s="13" t="n">
        <f aca="false">MIN(10_Beispiel_Rahden!$J$99*0.5,5000)</f>
        <v>2225.26044514619</v>
      </c>
    </row>
    <row r="35" customFormat="false" ht="15" hidden="false" customHeight="false" outlineLevel="0" collapsed="false">
      <c r="B35" s="4" t="s">
        <v>635</v>
      </c>
      <c r="C35" s="13" t="n">
        <f aca="false">MIN(10_Beispiel_Rahden!$J$98*0.5,650)</f>
        <v>650</v>
      </c>
    </row>
    <row r="36" customFormat="false" ht="15" hidden="false" customHeight="false" outlineLevel="0" collapsed="false">
      <c r="B36" s="4" t="s">
        <v>636</v>
      </c>
      <c r="C36" s="31" t="n">
        <f aca="false">MAX(0,A_Zins_80-A_Zins_KfW358)*MIN(C13,120000)*A_Zinsbindung</f>
        <v>16800</v>
      </c>
    </row>
    <row r="37" customFormat="false" ht="15" hidden="false" customHeight="false" outlineLevel="0" collapsed="false">
      <c r="B37" s="32" t="s">
        <v>637</v>
      </c>
      <c r="C37" s="33" t="n">
        <f aca="false">C29+C33+C34+C35+C36</f>
        <v>41388.3373682231</v>
      </c>
    </row>
    <row r="39" customFormat="false" ht="15" hidden="false" customHeight="false" outlineLevel="0" collapsed="false">
      <c r="B39" s="4" t="s">
        <v>638</v>
      </c>
      <c r="C39" s="4" t="str">
        <f aca="false">IF(C23&gt;C37,"Weg A (Effizienzhaus)","Weg B (Einzelmaßnahmen)")</f>
        <v>Weg B (Einzelmaßnahmen)</v>
      </c>
    </row>
    <row r="40" customFormat="false" ht="15" hidden="false" customHeight="false" outlineLevel="0" collapsed="false">
      <c r="B40" s="4" t="s">
        <v>639</v>
      </c>
      <c r="C40" s="31" t="n">
        <f aca="false">ABS(C23-C37)</f>
        <v>12888.3373682231</v>
      </c>
    </row>
    <row r="41" customFormat="false" ht="15" hidden="false" customHeight="false" outlineLevel="0" collapsed="false">
      <c r="B41" s="4" t="s">
        <v>640</v>
      </c>
      <c r="C41" s="12" t="str">
        <f aca="false">10_Beispiel_Rahden!$C$23</f>
        <v>Automatik (Empfehlung)</v>
      </c>
    </row>
    <row r="42" customFormat="false" ht="15" hidden="false" customHeight="false" outlineLevel="0" collapsed="false">
      <c r="B42" s="32" t="s">
        <v>641</v>
      </c>
      <c r="C42" s="33" t="n">
        <f aca="false">IF(C41="Automatik (Empfehlung)",MAX(C23,C37),IF(C41="Weg A (Effizienzhaus)",C23,C37))</f>
        <v>41388.3373682231</v>
      </c>
    </row>
    <row r="43" customFormat="false" ht="15" hidden="false" customHeight="false" outlineLevel="0" collapsed="false">
      <c r="B43" s="4" t="s">
        <v>642</v>
      </c>
      <c r="C43" s="31" t="n">
        <f aca="false">IF(OR(C41="Weg A (Effizienzhaus)",AND(C41="Automatik (Empfehlung)",C23&gt;=C37)),C19,MIN(C13,120000))</f>
        <v>120000</v>
      </c>
    </row>
    <row r="44" customFormat="false" ht="15" hidden="false" customHeight="false" outlineLevel="0" collapsed="false">
      <c r="B44" s="4" t="s">
        <v>643</v>
      </c>
      <c r="C44" s="34" t="n">
        <f aca="false">IF(OR(C41="Weg A (Effizienzhaus)",AND(C41="Automatik (Empfehlung)",C23&gt;=C37)),A_Zins_KfW261,A_Zins_KfW358)</f>
        <v>0.025</v>
      </c>
    </row>
    <row r="46" customFormat="false" ht="15" hidden="false" customHeight="false" outlineLevel="0" collapsed="false">
      <c r="B46" s="14" t="s">
        <v>644</v>
      </c>
      <c r="C46" s="14"/>
      <c r="D46" s="14"/>
      <c r="E46" s="14"/>
    </row>
    <row r="47" customFormat="false" ht="15" hidden="false" customHeight="false" outlineLevel="0" collapsed="false">
      <c r="B47" s="32" t="s">
        <v>645</v>
      </c>
      <c r="C47" s="33" t="n">
        <f aca="false">C8+C13-C42</f>
        <v>476125.667292948</v>
      </c>
    </row>
    <row r="48" customFormat="false" ht="15" hidden="false" customHeight="false" outlineLevel="0" collapsed="false">
      <c r="B48" s="4" t="s">
        <v>646</v>
      </c>
      <c r="C48" s="31" t="n">
        <f aca="false">SUMPRODUCT((10_Beispiel_Rahden!$S$51:$S$101="JA")*10_Beispiel_Rahden!$J$51:$J$101*(1+A_Baupreis)^(10_Beispiel_Rahden!$Q$51:$Q$101-A_Jahr))</f>
        <v>273508.039876046</v>
      </c>
    </row>
    <row r="49" customFormat="false" ht="15" hidden="false" customHeight="false" outlineLevel="0" collapsed="false">
      <c r="B49" s="4" t="s">
        <v>647</v>
      </c>
      <c r="C49" s="31" t="n">
        <f aca="false">SUMPRODUCT((10_Beispiel_Rahden!$S$51:$S$101="JA")*10_Beispiel_Rahden!$J$51:$J$101*(1+A_Baupreis)^(10_Beispiel_Rahden!$Q$51:$Q$101-A_Jahr)/(1+A_Diskont)^(10_Beispiel_Rahden!$Q$51:$Q$101-A_Jahr))</f>
        <v>273508.039876046</v>
      </c>
    </row>
    <row r="51" customFormat="false" ht="15" hidden="false" customHeight="false" outlineLevel="0" collapsed="false">
      <c r="B51" s="14" t="s">
        <v>648</v>
      </c>
      <c r="C51" s="14"/>
      <c r="D51" s="14"/>
      <c r="E51" s="14"/>
    </row>
    <row r="52" customFormat="false" ht="15" hidden="false" customHeight="false" outlineLevel="0" collapsed="false">
      <c r="B52" s="4" t="s">
        <v>649</v>
      </c>
      <c r="C52" s="31" t="n">
        <f aca="false">10_Beispiel_Rahden!$C$32</f>
        <v>50150</v>
      </c>
    </row>
    <row r="53" customFormat="false" ht="15" hidden="false" customHeight="false" outlineLevel="0" collapsed="false">
      <c r="B53" s="4" t="s">
        <v>650</v>
      </c>
      <c r="C53" s="31" t="n">
        <f aca="false">C4-10_Beispiel_Rahden!$C$32</f>
        <v>144850</v>
      </c>
    </row>
    <row r="54" customFormat="false" ht="15" hidden="false" customHeight="false" outlineLevel="0" collapsed="false">
      <c r="B54" s="4" t="s">
        <v>608</v>
      </c>
      <c r="C54" s="31" t="n">
        <f aca="false">C5+C6+C7</f>
        <v>16185</v>
      </c>
    </row>
    <row r="55" customFormat="false" ht="15" hidden="false" customHeight="false" outlineLevel="0" collapsed="false">
      <c r="B55" s="4" t="s">
        <v>651</v>
      </c>
      <c r="C55" s="31" t="n">
        <f aca="false">10_Beispiel_Rahden!$C$105</f>
        <v>92591.3117276947</v>
      </c>
    </row>
    <row r="56" customFormat="false" ht="15" hidden="false" customHeight="false" outlineLevel="0" collapsed="false">
      <c r="B56" s="4" t="s">
        <v>652</v>
      </c>
      <c r="C56" s="31" t="n">
        <f aca="false">10_Beispiel_Rahden!$C$106</f>
        <v>55759.3846153846</v>
      </c>
    </row>
    <row r="57" customFormat="false" ht="15" hidden="false" customHeight="false" outlineLevel="0" collapsed="false">
      <c r="B57" s="4" t="s">
        <v>653</v>
      </c>
      <c r="C57" s="31" t="n">
        <f aca="false">10_Beispiel_Rahden!$C$107</f>
        <v>79559.6408244921</v>
      </c>
    </row>
    <row r="58" customFormat="false" ht="15" hidden="false" customHeight="false" outlineLevel="0" collapsed="false">
      <c r="B58" s="4" t="s">
        <v>654</v>
      </c>
      <c r="C58" s="31" t="n">
        <f aca="false">10_Beispiel_Rahden!$C$109+10_Beispiel_Rahden!$C$110</f>
        <v>26473.1818181818</v>
      </c>
    </row>
    <row r="59" customFormat="false" ht="15" hidden="false" customHeight="false" outlineLevel="0" collapsed="false">
      <c r="B59" s="4" t="s">
        <v>655</v>
      </c>
      <c r="C59" s="31" t="n">
        <f aca="false">10_Beispiel_Rahden!$C$108+10_Beispiel_Rahden!$C$111+10_Beispiel_Rahden!$C$112</f>
        <v>19124.5208902924</v>
      </c>
    </row>
    <row r="60" customFormat="false" ht="15" hidden="false" customHeight="false" outlineLevel="0" collapsed="false">
      <c r="B60" s="4" t="s">
        <v>656</v>
      </c>
      <c r="C60" s="31" t="n">
        <f aca="false">C12</f>
        <v>32820.9647851255</v>
      </c>
    </row>
  </sheetData>
  <mergeCells count="5">
    <mergeCell ref="B3:E3"/>
    <mergeCell ref="B10:E10"/>
    <mergeCell ref="B15:E15"/>
    <mergeCell ref="B46:E46"/>
    <mergeCell ref="B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I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6"/>
    <col collapsed="false" customWidth="true" hidden="false" outlineLevel="0" max="4" min="4" style="0" width="10"/>
    <col collapsed="false" customWidth="true" hidden="false" outlineLevel="0" max="7" min="5" style="0" width="14"/>
    <col collapsed="false" customWidth="true" hidden="false" outlineLevel="0" max="8" min="8" style="0" width="16"/>
    <col collapsed="false" customWidth="true" hidden="false" outlineLevel="0" max="9" min="9" style="0" width="20"/>
  </cols>
  <sheetData>
    <row r="1" customFormat="false" ht="17.35" hidden="false" customHeight="false" outlineLevel="0" collapsed="false">
      <c r="B1" s="1" t="s">
        <v>657</v>
      </c>
    </row>
    <row r="3" customFormat="false" ht="15" hidden="false" customHeight="false" outlineLevel="0" collapsed="false">
      <c r="B3" s="14" t="s">
        <v>658</v>
      </c>
      <c r="C3" s="14"/>
      <c r="D3" s="14"/>
      <c r="E3" s="14"/>
    </row>
    <row r="4" customFormat="false" ht="15" hidden="false" customHeight="false" outlineLevel="0" collapsed="false">
      <c r="B4" s="4" t="s">
        <v>659</v>
      </c>
      <c r="C4" s="13" t="n">
        <f aca="false">11_Beispiel_Rahden!$C$47</f>
        <v>476125.667292948</v>
      </c>
    </row>
    <row r="5" customFormat="false" ht="15" hidden="false" customHeight="false" outlineLevel="0" collapsed="false">
      <c r="B5" s="4" t="s">
        <v>660</v>
      </c>
      <c r="C5" s="31" t="n">
        <f aca="false">A_EK</f>
        <v>100000</v>
      </c>
    </row>
    <row r="6" customFormat="false" ht="15" hidden="false" customHeight="false" outlineLevel="0" collapsed="false">
      <c r="B6" s="32" t="s">
        <v>661</v>
      </c>
      <c r="C6" s="33" t="n">
        <f aca="false">MAX(0,C4-C5)</f>
        <v>376125.667292948</v>
      </c>
    </row>
    <row r="8" customFormat="false" ht="15" hidden="false" customHeight="false" outlineLevel="0" collapsed="false">
      <c r="B8" s="21" t="s">
        <v>662</v>
      </c>
    </row>
    <row r="9" customFormat="false" ht="15" hidden="false" customHeight="false" outlineLevel="0" collapsed="false">
      <c r="B9" s="4" t="s">
        <v>663</v>
      </c>
      <c r="C9" s="31" t="n">
        <f aca="false">MIN(C6,11_Beispiel_Rahden!$C$43)</f>
        <v>120000</v>
      </c>
    </row>
    <row r="10" customFormat="false" ht="15" hidden="false" customHeight="false" outlineLevel="0" collapsed="false">
      <c r="B10" s="4" t="s">
        <v>664</v>
      </c>
      <c r="C10" s="35" t="n">
        <f aca="false">11_Beispiel_Rahden!$C$44</f>
        <v>0.025</v>
      </c>
    </row>
    <row r="11" customFormat="false" ht="15" hidden="false" customHeight="false" outlineLevel="0" collapsed="false">
      <c r="B11" s="4" t="s">
        <v>665</v>
      </c>
      <c r="C11" s="36" t="n">
        <f aca="false">A_KfW_tf</f>
        <v>2</v>
      </c>
    </row>
    <row r="13" customFormat="false" ht="15" hidden="false" customHeight="false" outlineLevel="0" collapsed="false">
      <c r="B13" s="21" t="s">
        <v>666</v>
      </c>
    </row>
    <row r="14" customFormat="false" ht="15" hidden="false" customHeight="false" outlineLevel="0" collapsed="false">
      <c r="B14" s="4" t="s">
        <v>667</v>
      </c>
      <c r="C14" s="31" t="n">
        <f aca="false">C6-C9</f>
        <v>256125.667292948</v>
      </c>
    </row>
    <row r="15" customFormat="false" ht="15" hidden="false" customHeight="false" outlineLevel="0" collapsed="false">
      <c r="B15" s="4" t="s">
        <v>668</v>
      </c>
      <c r="C15" s="34" t="n">
        <f aca="false">C6/(11_Beispiel_Rahden!$C$8+11_Beispiel_Rahden!$C$13)</f>
        <v>0.726793215072907</v>
      </c>
    </row>
    <row r="16" customFormat="false" ht="15" hidden="false" customHeight="false" outlineLevel="0" collapsed="false">
      <c r="B16" s="4" t="s">
        <v>669</v>
      </c>
      <c r="C16" s="34" t="n">
        <f aca="false">IF(C15&lt;=0.7,A_Zins_60,IF(C15&lt;=0.8,A_Zins_80,A_Zins_100))</f>
        <v>0.039</v>
      </c>
    </row>
    <row r="17" customFormat="false" ht="15" hidden="false" customHeight="false" outlineLevel="0" collapsed="false">
      <c r="B17" s="4" t="s">
        <v>670</v>
      </c>
      <c r="C17" s="34" t="n">
        <f aca="false">C16-IF(OR(11_Beispiel_Rahden!$C$16="EH 55 EE",11_Beispiel_Rahden!$C$16="EH 40 EE"),A_Zins_green,0)</f>
        <v>0.0375</v>
      </c>
    </row>
    <row r="20" customFormat="false" ht="15" hidden="false" customHeight="false" outlineLevel="0" collapsed="false">
      <c r="B20" s="14" t="s">
        <v>671</v>
      </c>
      <c r="C20" s="14"/>
      <c r="D20" s="14"/>
      <c r="E20" s="14"/>
    </row>
    <row r="21" customFormat="false" ht="15" hidden="false" customHeight="false" outlineLevel="0" collapsed="false">
      <c r="B21" s="4" t="s">
        <v>672</v>
      </c>
      <c r="C21" s="31" t="n">
        <f aca="false">C9*(C10+A_Tilgung)</f>
        <v>6000</v>
      </c>
    </row>
    <row r="22" customFormat="false" ht="15" hidden="false" customHeight="false" outlineLevel="0" collapsed="false">
      <c r="B22" s="4" t="s">
        <v>673</v>
      </c>
      <c r="C22" s="31" t="n">
        <f aca="false">C14*(C17+A_Tilgung)</f>
        <v>16007.8542058092</v>
      </c>
    </row>
    <row r="23" customFormat="false" ht="15" hidden="false" customHeight="false" outlineLevel="0" collapsed="false">
      <c r="B23" s="4" t="s">
        <v>674</v>
      </c>
      <c r="C23" s="31" t="n">
        <f aca="false">(C21+C22)/12</f>
        <v>1833.9878504841</v>
      </c>
    </row>
    <row r="25" customFormat="false" ht="15" hidden="false" customHeight="false" outlineLevel="0" collapsed="false">
      <c r="B25" s="14" t="s">
        <v>675</v>
      </c>
      <c r="C25" s="14"/>
      <c r="D25" s="14"/>
      <c r="E25" s="14"/>
      <c r="F25" s="14"/>
      <c r="G25" s="14"/>
      <c r="H25" s="14"/>
      <c r="I25" s="14"/>
    </row>
    <row r="26" customFormat="false" ht="23.85" hidden="false" customHeight="false" outlineLevel="0" collapsed="false">
      <c r="B26" s="11" t="s">
        <v>51</v>
      </c>
      <c r="C26" s="11" t="s">
        <v>676</v>
      </c>
      <c r="D26" s="11" t="s">
        <v>677</v>
      </c>
      <c r="E26" s="11" t="s">
        <v>678</v>
      </c>
      <c r="F26" s="11" t="s">
        <v>679</v>
      </c>
      <c r="G26" s="11" t="s">
        <v>680</v>
      </c>
      <c r="H26" s="11" t="s">
        <v>681</v>
      </c>
      <c r="I26" s="11" t="s">
        <v>682</v>
      </c>
    </row>
    <row r="27" customFormat="false" ht="15" hidden="false" customHeight="false" outlineLevel="0" collapsed="false">
      <c r="B27" s="36" t="n">
        <v>1</v>
      </c>
      <c r="C27" s="31" t="n">
        <f aca="false">C9</f>
        <v>120000</v>
      </c>
      <c r="D27" s="34" t="n">
        <f aca="false">IF($B27&lt;=A_Zinsbindung,$C$10,A_Zins_Anschluss)</f>
        <v>0.025</v>
      </c>
      <c r="E27" s="31" t="n">
        <f aca="false">IF($B27&lt;=A_Laufzeit,C27*D27,0)</f>
        <v>3000</v>
      </c>
      <c r="F27" s="31" t="n">
        <f aca="false">IF($B27&lt;=A_Laufzeit,G27-E27,0)</f>
        <v>0</v>
      </c>
      <c r="G27" s="31" t="n">
        <f aca="false">IF($B27&lt;=A_Laufzeit,IF($B27&lt;=A_KfW_tf,E27,$C$21),0)</f>
        <v>3000</v>
      </c>
      <c r="H27" s="31" t="n">
        <f aca="false">MAX(0,C27-F27)</f>
        <v>120000</v>
      </c>
      <c r="I27" s="31" t="n">
        <f aca="false">IF($B27&lt;=A_Laufzeit,C27*MAX(0,$C$16-D27),0)</f>
        <v>1680</v>
      </c>
    </row>
    <row r="28" customFormat="false" ht="15" hidden="false" customHeight="false" outlineLevel="0" collapsed="false">
      <c r="B28" s="36" t="n">
        <v>2</v>
      </c>
      <c r="C28" s="31" t="n">
        <f aca="false">H27</f>
        <v>120000</v>
      </c>
      <c r="D28" s="34" t="n">
        <f aca="false">IF($B28&lt;=A_Zinsbindung,$C$10,A_Zins_Anschluss)</f>
        <v>0.025</v>
      </c>
      <c r="E28" s="31" t="n">
        <f aca="false">IF($B28&lt;=A_Laufzeit,C28*D28,0)</f>
        <v>3000</v>
      </c>
      <c r="F28" s="31" t="n">
        <f aca="false">IF($B28&lt;=A_Laufzeit,G28-E28,0)</f>
        <v>0</v>
      </c>
      <c r="G28" s="31" t="n">
        <f aca="false">IF($B28&lt;=A_Laufzeit,IF($B28&lt;=A_KfW_tf,E28,$C$21),0)</f>
        <v>3000</v>
      </c>
      <c r="H28" s="31" t="n">
        <f aca="false">MAX(0,C28-F28)</f>
        <v>120000</v>
      </c>
      <c r="I28" s="31" t="n">
        <f aca="false">IF($B28&lt;=A_Laufzeit,C28*MAX(0,$C$16-D28),0)</f>
        <v>1680</v>
      </c>
    </row>
    <row r="29" customFormat="false" ht="15" hidden="false" customHeight="false" outlineLevel="0" collapsed="false">
      <c r="B29" s="36" t="n">
        <v>3</v>
      </c>
      <c r="C29" s="31" t="n">
        <f aca="false">H28</f>
        <v>120000</v>
      </c>
      <c r="D29" s="34" t="n">
        <f aca="false">IF($B29&lt;=A_Zinsbindung,$C$10,A_Zins_Anschluss)</f>
        <v>0.025</v>
      </c>
      <c r="E29" s="31" t="n">
        <f aca="false">IF($B29&lt;=A_Laufzeit,C29*D29,0)</f>
        <v>3000</v>
      </c>
      <c r="F29" s="31" t="n">
        <f aca="false">IF($B29&lt;=A_Laufzeit,G29-E29,0)</f>
        <v>3000</v>
      </c>
      <c r="G29" s="31" t="n">
        <f aca="false">IF($B29&lt;=A_Laufzeit,IF($B29&lt;=A_KfW_tf,E29,$C$21),0)</f>
        <v>6000</v>
      </c>
      <c r="H29" s="31" t="n">
        <f aca="false">MAX(0,C29-F29)</f>
        <v>117000</v>
      </c>
      <c r="I29" s="31" t="n">
        <f aca="false">IF($B29&lt;=A_Laufzeit,C29*MAX(0,$C$16-D29),0)</f>
        <v>1680</v>
      </c>
    </row>
    <row r="30" customFormat="false" ht="15" hidden="false" customHeight="false" outlineLevel="0" collapsed="false">
      <c r="B30" s="36" t="n">
        <v>4</v>
      </c>
      <c r="C30" s="31" t="n">
        <f aca="false">H29</f>
        <v>117000</v>
      </c>
      <c r="D30" s="34" t="n">
        <f aca="false">IF($B30&lt;=A_Zinsbindung,$C$10,A_Zins_Anschluss)</f>
        <v>0.025</v>
      </c>
      <c r="E30" s="31" t="n">
        <f aca="false">IF($B30&lt;=A_Laufzeit,C30*D30,0)</f>
        <v>2925</v>
      </c>
      <c r="F30" s="31" t="n">
        <f aca="false">IF($B30&lt;=A_Laufzeit,G30-E30,0)</f>
        <v>3075</v>
      </c>
      <c r="G30" s="31" t="n">
        <f aca="false">IF($B30&lt;=A_Laufzeit,IF($B30&lt;=A_KfW_tf,E30,$C$21),0)</f>
        <v>6000</v>
      </c>
      <c r="H30" s="31" t="n">
        <f aca="false">MAX(0,C30-F30)</f>
        <v>113925</v>
      </c>
      <c r="I30" s="31" t="n">
        <f aca="false">IF($B30&lt;=A_Laufzeit,C30*MAX(0,$C$16-D30),0)</f>
        <v>1638</v>
      </c>
    </row>
    <row r="31" customFormat="false" ht="15" hidden="false" customHeight="false" outlineLevel="0" collapsed="false">
      <c r="B31" s="36" t="n">
        <v>5</v>
      </c>
      <c r="C31" s="31" t="n">
        <f aca="false">H30</f>
        <v>113925</v>
      </c>
      <c r="D31" s="34" t="n">
        <f aca="false">IF($B31&lt;=A_Zinsbindung,$C$10,A_Zins_Anschluss)</f>
        <v>0.025</v>
      </c>
      <c r="E31" s="31" t="n">
        <f aca="false">IF($B31&lt;=A_Laufzeit,C31*D31,0)</f>
        <v>2848.125</v>
      </c>
      <c r="F31" s="31" t="n">
        <f aca="false">IF($B31&lt;=A_Laufzeit,G31-E31,0)</f>
        <v>3151.875</v>
      </c>
      <c r="G31" s="31" t="n">
        <f aca="false">IF($B31&lt;=A_Laufzeit,IF($B31&lt;=A_KfW_tf,E31,$C$21),0)</f>
        <v>6000</v>
      </c>
      <c r="H31" s="31" t="n">
        <f aca="false">MAX(0,C31-F31)</f>
        <v>110773.125</v>
      </c>
      <c r="I31" s="31" t="n">
        <f aca="false">IF($B31&lt;=A_Laufzeit,C31*MAX(0,$C$16-D31),0)</f>
        <v>1594.95</v>
      </c>
    </row>
    <row r="32" customFormat="false" ht="15" hidden="false" customHeight="false" outlineLevel="0" collapsed="false">
      <c r="B32" s="36" t="n">
        <v>6</v>
      </c>
      <c r="C32" s="31" t="n">
        <f aca="false">H31</f>
        <v>110773.125</v>
      </c>
      <c r="D32" s="34" t="n">
        <f aca="false">IF($B32&lt;=A_Zinsbindung,$C$10,A_Zins_Anschluss)</f>
        <v>0.025</v>
      </c>
      <c r="E32" s="31" t="n">
        <f aca="false">IF($B32&lt;=A_Laufzeit,C32*D32,0)</f>
        <v>2769.328125</v>
      </c>
      <c r="F32" s="31" t="n">
        <f aca="false">IF($B32&lt;=A_Laufzeit,G32-E32,0)</f>
        <v>3230.671875</v>
      </c>
      <c r="G32" s="31" t="n">
        <f aca="false">IF($B32&lt;=A_Laufzeit,IF($B32&lt;=A_KfW_tf,E32,$C$21),0)</f>
        <v>6000</v>
      </c>
      <c r="H32" s="31" t="n">
        <f aca="false">MAX(0,C32-F32)</f>
        <v>107542.453125</v>
      </c>
      <c r="I32" s="31" t="n">
        <f aca="false">IF($B32&lt;=A_Laufzeit,C32*MAX(0,$C$16-D32),0)</f>
        <v>1550.82375</v>
      </c>
    </row>
    <row r="33" customFormat="false" ht="15" hidden="false" customHeight="false" outlineLevel="0" collapsed="false">
      <c r="B33" s="36" t="n">
        <v>7</v>
      </c>
      <c r="C33" s="31" t="n">
        <f aca="false">H32</f>
        <v>107542.453125</v>
      </c>
      <c r="D33" s="34" t="n">
        <f aca="false">IF($B33&lt;=A_Zinsbindung,$C$10,A_Zins_Anschluss)</f>
        <v>0.025</v>
      </c>
      <c r="E33" s="31" t="n">
        <f aca="false">IF($B33&lt;=A_Laufzeit,C33*D33,0)</f>
        <v>2688.561328125</v>
      </c>
      <c r="F33" s="31" t="n">
        <f aca="false">IF($B33&lt;=A_Laufzeit,G33-E33,0)</f>
        <v>3311.438671875</v>
      </c>
      <c r="G33" s="31" t="n">
        <f aca="false">IF($B33&lt;=A_Laufzeit,IF($B33&lt;=A_KfW_tf,E33,$C$21),0)</f>
        <v>6000</v>
      </c>
      <c r="H33" s="31" t="n">
        <f aca="false">MAX(0,C33-F33)</f>
        <v>104231.014453125</v>
      </c>
      <c r="I33" s="31" t="n">
        <f aca="false">IF($B33&lt;=A_Laufzeit,C33*MAX(0,$C$16-D33),0)</f>
        <v>1505.59434375</v>
      </c>
    </row>
    <row r="34" customFormat="false" ht="15" hidden="false" customHeight="false" outlineLevel="0" collapsed="false">
      <c r="B34" s="36" t="n">
        <v>8</v>
      </c>
      <c r="C34" s="31" t="n">
        <f aca="false">H33</f>
        <v>104231.014453125</v>
      </c>
      <c r="D34" s="34" t="n">
        <f aca="false">IF($B34&lt;=A_Zinsbindung,$C$10,A_Zins_Anschluss)</f>
        <v>0.025</v>
      </c>
      <c r="E34" s="31" t="n">
        <f aca="false">IF($B34&lt;=A_Laufzeit,C34*D34,0)</f>
        <v>2605.77536132813</v>
      </c>
      <c r="F34" s="31" t="n">
        <f aca="false">IF($B34&lt;=A_Laufzeit,G34-E34,0)</f>
        <v>3394.22463867188</v>
      </c>
      <c r="G34" s="31" t="n">
        <f aca="false">IF($B34&lt;=A_Laufzeit,IF($B34&lt;=A_KfW_tf,E34,$C$21),0)</f>
        <v>6000</v>
      </c>
      <c r="H34" s="31" t="n">
        <f aca="false">MAX(0,C34-F34)</f>
        <v>100836.789814453</v>
      </c>
      <c r="I34" s="31" t="n">
        <f aca="false">IF($B34&lt;=A_Laufzeit,C34*MAX(0,$C$16-D34),0)</f>
        <v>1459.23420234375</v>
      </c>
    </row>
    <row r="35" customFormat="false" ht="15" hidden="false" customHeight="false" outlineLevel="0" collapsed="false">
      <c r="B35" s="36" t="n">
        <v>9</v>
      </c>
      <c r="C35" s="31" t="n">
        <f aca="false">H34</f>
        <v>100836.789814453</v>
      </c>
      <c r="D35" s="34" t="n">
        <f aca="false">IF($B35&lt;=A_Zinsbindung,$C$10,A_Zins_Anschluss)</f>
        <v>0.025</v>
      </c>
      <c r="E35" s="31" t="n">
        <f aca="false">IF($B35&lt;=A_Laufzeit,C35*D35,0)</f>
        <v>2520.91974536133</v>
      </c>
      <c r="F35" s="31" t="n">
        <f aca="false">IF($B35&lt;=A_Laufzeit,G35-E35,0)</f>
        <v>3479.08025463867</v>
      </c>
      <c r="G35" s="31" t="n">
        <f aca="false">IF($B35&lt;=A_Laufzeit,IF($B35&lt;=A_KfW_tf,E35,$C$21),0)</f>
        <v>6000</v>
      </c>
      <c r="H35" s="31" t="n">
        <f aca="false">MAX(0,C35-F35)</f>
        <v>97357.7095598145</v>
      </c>
      <c r="I35" s="31" t="n">
        <f aca="false">IF($B35&lt;=A_Laufzeit,C35*MAX(0,$C$16-D35),0)</f>
        <v>1411.71505740234</v>
      </c>
    </row>
    <row r="36" customFormat="false" ht="15" hidden="false" customHeight="false" outlineLevel="0" collapsed="false">
      <c r="B36" s="36" t="n">
        <v>10</v>
      </c>
      <c r="C36" s="31" t="n">
        <f aca="false">H35</f>
        <v>97357.7095598145</v>
      </c>
      <c r="D36" s="34" t="n">
        <f aca="false">IF($B36&lt;=A_Zinsbindung,$C$10,A_Zins_Anschluss)</f>
        <v>0.025</v>
      </c>
      <c r="E36" s="31" t="n">
        <f aca="false">IF($B36&lt;=A_Laufzeit,C36*D36,0)</f>
        <v>2433.94273899536</v>
      </c>
      <c r="F36" s="31" t="n">
        <f aca="false">IF($B36&lt;=A_Laufzeit,G36-E36,0)</f>
        <v>3566.05726100464</v>
      </c>
      <c r="G36" s="31" t="n">
        <f aca="false">IF($B36&lt;=A_Laufzeit,IF($B36&lt;=A_KfW_tf,E36,$C$21),0)</f>
        <v>6000</v>
      </c>
      <c r="H36" s="31" t="n">
        <f aca="false">MAX(0,C36-F36)</f>
        <v>93791.6522988098</v>
      </c>
      <c r="I36" s="31" t="n">
        <f aca="false">IF($B36&lt;=A_Laufzeit,C36*MAX(0,$C$16-D36),0)</f>
        <v>1363.0079338374</v>
      </c>
    </row>
    <row r="37" customFormat="false" ht="15" hidden="false" customHeight="false" outlineLevel="0" collapsed="false">
      <c r="B37" s="36" t="n">
        <v>11</v>
      </c>
      <c r="C37" s="31" t="n">
        <f aca="false">H36</f>
        <v>93791.6522988098</v>
      </c>
      <c r="D37" s="34" t="n">
        <f aca="false">IF($B37&lt;=A_Zinsbindung,$C$10,A_Zins_Anschluss)</f>
        <v>0.045</v>
      </c>
      <c r="E37" s="31" t="n">
        <f aca="false">IF($B37&lt;=A_Laufzeit,C37*D37,0)</f>
        <v>4220.62435344644</v>
      </c>
      <c r="F37" s="31" t="n">
        <f aca="false">IF($B37&lt;=A_Laufzeit,G37-E37,0)</f>
        <v>1779.37564655356</v>
      </c>
      <c r="G37" s="31" t="n">
        <f aca="false">IF($B37&lt;=A_Laufzeit,IF($B37&lt;=A_KfW_tf,E37,$C$21),0)</f>
        <v>6000</v>
      </c>
      <c r="H37" s="31" t="n">
        <f aca="false">MAX(0,C37-F37)</f>
        <v>92012.2766522563</v>
      </c>
      <c r="I37" s="31" t="n">
        <f aca="false">IF($B37&lt;=A_Laufzeit,C37*MAX(0,$C$16-D37),0)</f>
        <v>0</v>
      </c>
    </row>
    <row r="38" customFormat="false" ht="15" hidden="false" customHeight="false" outlineLevel="0" collapsed="false">
      <c r="B38" s="36" t="n">
        <v>12</v>
      </c>
      <c r="C38" s="31" t="n">
        <f aca="false">H37</f>
        <v>92012.2766522563</v>
      </c>
      <c r="D38" s="34" t="n">
        <f aca="false">IF($B38&lt;=A_Zinsbindung,$C$10,A_Zins_Anschluss)</f>
        <v>0.045</v>
      </c>
      <c r="E38" s="31" t="n">
        <f aca="false">IF($B38&lt;=A_Laufzeit,C38*D38,0)</f>
        <v>4140.55244935153</v>
      </c>
      <c r="F38" s="31" t="n">
        <f aca="false">IF($B38&lt;=A_Laufzeit,G38-E38,0)</f>
        <v>1859.44755064847</v>
      </c>
      <c r="G38" s="31" t="n">
        <f aca="false">IF($B38&lt;=A_Laufzeit,IF($B38&lt;=A_KfW_tf,E38,$C$21),0)</f>
        <v>6000</v>
      </c>
      <c r="H38" s="31" t="n">
        <f aca="false">MAX(0,C38-F38)</f>
        <v>90152.8291016078</v>
      </c>
      <c r="I38" s="31" t="n">
        <f aca="false">IF($B38&lt;=A_Laufzeit,C38*MAX(0,$C$16-D38),0)</f>
        <v>0</v>
      </c>
    </row>
    <row r="39" customFormat="false" ht="15" hidden="false" customHeight="false" outlineLevel="0" collapsed="false">
      <c r="B39" s="36" t="n">
        <v>13</v>
      </c>
      <c r="C39" s="31" t="n">
        <f aca="false">H38</f>
        <v>90152.8291016078</v>
      </c>
      <c r="D39" s="34" t="n">
        <f aca="false">IF($B39&lt;=A_Zinsbindung,$C$10,A_Zins_Anschluss)</f>
        <v>0.045</v>
      </c>
      <c r="E39" s="31" t="n">
        <f aca="false">IF($B39&lt;=A_Laufzeit,C39*D39,0)</f>
        <v>4056.87730957235</v>
      </c>
      <c r="F39" s="31" t="n">
        <f aca="false">IF($B39&lt;=A_Laufzeit,G39-E39,0)</f>
        <v>1943.12269042765</v>
      </c>
      <c r="G39" s="31" t="n">
        <f aca="false">IF($B39&lt;=A_Laufzeit,IF($B39&lt;=A_KfW_tf,E39,$C$21),0)</f>
        <v>6000</v>
      </c>
      <c r="H39" s="31" t="n">
        <f aca="false">MAX(0,C39-F39)</f>
        <v>88209.7064111801</v>
      </c>
      <c r="I39" s="31" t="n">
        <f aca="false">IF($B39&lt;=A_Laufzeit,C39*MAX(0,$C$16-D39),0)</f>
        <v>0</v>
      </c>
    </row>
    <row r="40" customFormat="false" ht="15" hidden="false" customHeight="false" outlineLevel="0" collapsed="false">
      <c r="B40" s="36" t="n">
        <v>14</v>
      </c>
      <c r="C40" s="31" t="n">
        <f aca="false">H39</f>
        <v>88209.7064111801</v>
      </c>
      <c r="D40" s="34" t="n">
        <f aca="false">IF($B40&lt;=A_Zinsbindung,$C$10,A_Zins_Anschluss)</f>
        <v>0.045</v>
      </c>
      <c r="E40" s="31" t="n">
        <f aca="false">IF($B40&lt;=A_Laufzeit,C40*D40,0)</f>
        <v>3969.43678850311</v>
      </c>
      <c r="F40" s="31" t="n">
        <f aca="false">IF($B40&lt;=A_Laufzeit,G40-E40,0)</f>
        <v>2030.56321149689</v>
      </c>
      <c r="G40" s="31" t="n">
        <f aca="false">IF($B40&lt;=A_Laufzeit,IF($B40&lt;=A_KfW_tf,E40,$C$21),0)</f>
        <v>6000</v>
      </c>
      <c r="H40" s="31" t="n">
        <f aca="false">MAX(0,C40-F40)</f>
        <v>86179.1431996832</v>
      </c>
      <c r="I40" s="31" t="n">
        <f aca="false">IF($B40&lt;=A_Laufzeit,C40*MAX(0,$C$16-D40),0)</f>
        <v>0</v>
      </c>
    </row>
    <row r="41" customFormat="false" ht="15" hidden="false" customHeight="false" outlineLevel="0" collapsed="false">
      <c r="B41" s="36" t="n">
        <v>15</v>
      </c>
      <c r="C41" s="31" t="n">
        <f aca="false">H40</f>
        <v>86179.1431996832</v>
      </c>
      <c r="D41" s="34" t="n">
        <f aca="false">IF($B41&lt;=A_Zinsbindung,$C$10,A_Zins_Anschluss)</f>
        <v>0.045</v>
      </c>
      <c r="E41" s="31" t="n">
        <f aca="false">IF($B41&lt;=A_Laufzeit,C41*D41,0)</f>
        <v>3878.06144398575</v>
      </c>
      <c r="F41" s="31" t="n">
        <f aca="false">IF($B41&lt;=A_Laufzeit,G41-E41,0)</f>
        <v>2121.93855601425</v>
      </c>
      <c r="G41" s="31" t="n">
        <f aca="false">IF($B41&lt;=A_Laufzeit,IF($B41&lt;=A_KfW_tf,E41,$C$21),0)</f>
        <v>6000</v>
      </c>
      <c r="H41" s="31" t="n">
        <f aca="false">MAX(0,C41-F41)</f>
        <v>84057.204643669</v>
      </c>
      <c r="I41" s="31" t="n">
        <f aca="false">IF($B41&lt;=A_Laufzeit,C41*MAX(0,$C$16-D41),0)</f>
        <v>0</v>
      </c>
    </row>
    <row r="42" customFormat="false" ht="15" hidden="false" customHeight="false" outlineLevel="0" collapsed="false">
      <c r="B42" s="36" t="n">
        <v>16</v>
      </c>
      <c r="C42" s="31" t="n">
        <f aca="false">H41</f>
        <v>84057.204643669</v>
      </c>
      <c r="D42" s="34" t="n">
        <f aca="false">IF($B42&lt;=A_Zinsbindung,$C$10,A_Zins_Anschluss)</f>
        <v>0.045</v>
      </c>
      <c r="E42" s="31" t="n">
        <f aca="false">IF($B42&lt;=A_Laufzeit,C42*D42,0)</f>
        <v>3782.5742089651</v>
      </c>
      <c r="F42" s="31" t="n">
        <f aca="false">IF($B42&lt;=A_Laufzeit,G42-E42,0)</f>
        <v>2217.4257910349</v>
      </c>
      <c r="G42" s="31" t="n">
        <f aca="false">IF($B42&lt;=A_Laufzeit,IF($B42&lt;=A_KfW_tf,E42,$C$21),0)</f>
        <v>6000</v>
      </c>
      <c r="H42" s="31" t="n">
        <f aca="false">MAX(0,C42-F42)</f>
        <v>81839.7788526341</v>
      </c>
      <c r="I42" s="31" t="n">
        <f aca="false">IF($B42&lt;=A_Laufzeit,C42*MAX(0,$C$16-D42),0)</f>
        <v>0</v>
      </c>
    </row>
    <row r="43" customFormat="false" ht="15" hidden="false" customHeight="false" outlineLevel="0" collapsed="false">
      <c r="B43" s="36" t="n">
        <v>17</v>
      </c>
      <c r="C43" s="31" t="n">
        <f aca="false">H42</f>
        <v>81839.7788526341</v>
      </c>
      <c r="D43" s="34" t="n">
        <f aca="false">IF($B43&lt;=A_Zinsbindung,$C$10,A_Zins_Anschluss)</f>
        <v>0.045</v>
      </c>
      <c r="E43" s="31" t="n">
        <f aca="false">IF($B43&lt;=A_Laufzeit,C43*D43,0)</f>
        <v>3682.79004836853</v>
      </c>
      <c r="F43" s="31" t="n">
        <f aca="false">IF($B43&lt;=A_Laufzeit,G43-E43,0)</f>
        <v>2317.20995163147</v>
      </c>
      <c r="G43" s="31" t="n">
        <f aca="false">IF($B43&lt;=A_Laufzeit,IF($B43&lt;=A_KfW_tf,E43,$C$21),0)</f>
        <v>6000</v>
      </c>
      <c r="H43" s="31" t="n">
        <f aca="false">MAX(0,C43-F43)</f>
        <v>79522.5689010026</v>
      </c>
      <c r="I43" s="31" t="n">
        <f aca="false">IF($B43&lt;=A_Laufzeit,C43*MAX(0,$C$16-D43),0)</f>
        <v>0</v>
      </c>
    </row>
    <row r="44" customFormat="false" ht="15" hidden="false" customHeight="false" outlineLevel="0" collapsed="false">
      <c r="B44" s="36" t="n">
        <v>18</v>
      </c>
      <c r="C44" s="31" t="n">
        <f aca="false">H43</f>
        <v>79522.5689010026</v>
      </c>
      <c r="D44" s="34" t="n">
        <f aca="false">IF($B44&lt;=A_Zinsbindung,$C$10,A_Zins_Anschluss)</f>
        <v>0.045</v>
      </c>
      <c r="E44" s="31" t="n">
        <f aca="false">IF($B44&lt;=A_Laufzeit,C44*D44,0)</f>
        <v>3578.51560054512</v>
      </c>
      <c r="F44" s="31" t="n">
        <f aca="false">IF($B44&lt;=A_Laufzeit,G44-E44,0)</f>
        <v>2421.48439945488</v>
      </c>
      <c r="G44" s="31" t="n">
        <f aca="false">IF($B44&lt;=A_Laufzeit,IF($B44&lt;=A_KfW_tf,E44,$C$21),0)</f>
        <v>6000</v>
      </c>
      <c r="H44" s="31" t="n">
        <f aca="false">MAX(0,C44-F44)</f>
        <v>77101.0845015477</v>
      </c>
      <c r="I44" s="31" t="n">
        <f aca="false">IF($B44&lt;=A_Laufzeit,C44*MAX(0,$C$16-D44),0)</f>
        <v>0</v>
      </c>
    </row>
    <row r="45" customFormat="false" ht="15" hidden="false" customHeight="false" outlineLevel="0" collapsed="false">
      <c r="B45" s="36" t="n">
        <v>19</v>
      </c>
      <c r="C45" s="31" t="n">
        <f aca="false">H44</f>
        <v>77101.0845015477</v>
      </c>
      <c r="D45" s="34" t="n">
        <f aca="false">IF($B45&lt;=A_Zinsbindung,$C$10,A_Zins_Anschluss)</f>
        <v>0.045</v>
      </c>
      <c r="E45" s="31" t="n">
        <f aca="false">IF($B45&lt;=A_Laufzeit,C45*D45,0)</f>
        <v>3469.54880256965</v>
      </c>
      <c r="F45" s="31" t="n">
        <f aca="false">IF($B45&lt;=A_Laufzeit,G45-E45,0)</f>
        <v>2530.45119743035</v>
      </c>
      <c r="G45" s="31" t="n">
        <f aca="false">IF($B45&lt;=A_Laufzeit,IF($B45&lt;=A_KfW_tf,E45,$C$21),0)</f>
        <v>6000</v>
      </c>
      <c r="H45" s="31" t="n">
        <f aca="false">MAX(0,C45-F45)</f>
        <v>74570.6333041174</v>
      </c>
      <c r="I45" s="31" t="n">
        <f aca="false">IF($B45&lt;=A_Laufzeit,C45*MAX(0,$C$16-D45),0)</f>
        <v>0</v>
      </c>
    </row>
    <row r="46" customFormat="false" ht="15" hidden="false" customHeight="false" outlineLevel="0" collapsed="false">
      <c r="B46" s="36" t="n">
        <v>20</v>
      </c>
      <c r="C46" s="31" t="n">
        <f aca="false">H45</f>
        <v>74570.6333041174</v>
      </c>
      <c r="D46" s="34" t="n">
        <f aca="false">IF($B46&lt;=A_Zinsbindung,$C$10,A_Zins_Anschluss)</f>
        <v>0.045</v>
      </c>
      <c r="E46" s="31" t="n">
        <f aca="false">IF($B46&lt;=A_Laufzeit,C46*D46,0)</f>
        <v>3355.67849868528</v>
      </c>
      <c r="F46" s="31" t="n">
        <f aca="false">IF($B46&lt;=A_Laufzeit,G46-E46,0)</f>
        <v>2644.32150131472</v>
      </c>
      <c r="G46" s="31" t="n">
        <f aca="false">IF($B46&lt;=A_Laufzeit,IF($B46&lt;=A_KfW_tf,E46,$C$21),0)</f>
        <v>6000</v>
      </c>
      <c r="H46" s="31" t="n">
        <f aca="false">MAX(0,C46-F46)</f>
        <v>71926.3118028027</v>
      </c>
      <c r="I46" s="31" t="n">
        <f aca="false">IF($B46&lt;=A_Laufzeit,C46*MAX(0,$C$16-D46),0)</f>
        <v>0</v>
      </c>
    </row>
    <row r="47" customFormat="false" ht="15" hidden="false" customHeight="false" outlineLevel="0" collapsed="false">
      <c r="B47" s="36" t="n">
        <v>21</v>
      </c>
      <c r="C47" s="31" t="n">
        <f aca="false">H46</f>
        <v>71926.3118028027</v>
      </c>
      <c r="D47" s="34" t="n">
        <f aca="false">IF($B47&lt;=A_Zinsbindung,$C$10,A_Zins_Anschluss)</f>
        <v>0.045</v>
      </c>
      <c r="E47" s="31" t="n">
        <f aca="false">IF($B47&lt;=A_Laufzeit,C47*D47,0)</f>
        <v>3236.68403112612</v>
      </c>
      <c r="F47" s="31" t="n">
        <f aca="false">IF($B47&lt;=A_Laufzeit,G47-E47,0)</f>
        <v>2763.31596887388</v>
      </c>
      <c r="G47" s="31" t="n">
        <f aca="false">IF($B47&lt;=A_Laufzeit,IF($B47&lt;=A_KfW_tf,E47,$C$21),0)</f>
        <v>6000</v>
      </c>
      <c r="H47" s="31" t="n">
        <f aca="false">MAX(0,C47-F47)</f>
        <v>69162.9958339288</v>
      </c>
      <c r="I47" s="31" t="n">
        <f aca="false">IF($B47&lt;=A_Laufzeit,C47*MAX(0,$C$16-D47),0)</f>
        <v>0</v>
      </c>
    </row>
    <row r="48" customFormat="false" ht="15" hidden="false" customHeight="false" outlineLevel="0" collapsed="false">
      <c r="B48" s="36" t="n">
        <v>22</v>
      </c>
      <c r="C48" s="31" t="n">
        <f aca="false">H47</f>
        <v>69162.9958339288</v>
      </c>
      <c r="D48" s="34" t="n">
        <f aca="false">IF($B48&lt;=A_Zinsbindung,$C$10,A_Zins_Anschluss)</f>
        <v>0.045</v>
      </c>
      <c r="E48" s="31" t="n">
        <f aca="false">IF($B48&lt;=A_Laufzeit,C48*D48,0)</f>
        <v>3112.3348125268</v>
      </c>
      <c r="F48" s="31" t="n">
        <f aca="false">IF($B48&lt;=A_Laufzeit,G48-E48,0)</f>
        <v>2887.6651874732</v>
      </c>
      <c r="G48" s="31" t="n">
        <f aca="false">IF($B48&lt;=A_Laufzeit,IF($B48&lt;=A_KfW_tf,E48,$C$21),0)</f>
        <v>6000</v>
      </c>
      <c r="H48" s="31" t="n">
        <f aca="false">MAX(0,C48-F48)</f>
        <v>66275.3306464556</v>
      </c>
      <c r="I48" s="31" t="n">
        <f aca="false">IF($B48&lt;=A_Laufzeit,C48*MAX(0,$C$16-D48),0)</f>
        <v>0</v>
      </c>
    </row>
    <row r="49" customFormat="false" ht="15" hidden="false" customHeight="false" outlineLevel="0" collapsed="false">
      <c r="B49" s="36" t="n">
        <v>23</v>
      </c>
      <c r="C49" s="31" t="n">
        <f aca="false">H48</f>
        <v>66275.3306464556</v>
      </c>
      <c r="D49" s="34" t="n">
        <f aca="false">IF($B49&lt;=A_Zinsbindung,$C$10,A_Zins_Anschluss)</f>
        <v>0.045</v>
      </c>
      <c r="E49" s="31" t="n">
        <f aca="false">IF($B49&lt;=A_Laufzeit,C49*D49,0)</f>
        <v>2982.3898790905</v>
      </c>
      <c r="F49" s="31" t="n">
        <f aca="false">IF($B49&lt;=A_Laufzeit,G49-E49,0)</f>
        <v>3017.6101209095</v>
      </c>
      <c r="G49" s="31" t="n">
        <f aca="false">IF($B49&lt;=A_Laufzeit,IF($B49&lt;=A_KfW_tf,E49,$C$21),0)</f>
        <v>6000</v>
      </c>
      <c r="H49" s="31" t="n">
        <f aca="false">MAX(0,C49-F49)</f>
        <v>63257.7205255461</v>
      </c>
      <c r="I49" s="31" t="n">
        <f aca="false">IF($B49&lt;=A_Laufzeit,C49*MAX(0,$C$16-D49),0)</f>
        <v>0</v>
      </c>
    </row>
    <row r="50" customFormat="false" ht="15" hidden="false" customHeight="false" outlineLevel="0" collapsed="false">
      <c r="B50" s="36" t="n">
        <v>24</v>
      </c>
      <c r="C50" s="31" t="n">
        <f aca="false">H49</f>
        <v>63257.7205255461</v>
      </c>
      <c r="D50" s="34" t="n">
        <f aca="false">IF($B50&lt;=A_Zinsbindung,$C$10,A_Zins_Anschluss)</f>
        <v>0.045</v>
      </c>
      <c r="E50" s="31" t="n">
        <f aca="false">IF($B50&lt;=A_Laufzeit,C50*D50,0)</f>
        <v>2846.59742364957</v>
      </c>
      <c r="F50" s="31" t="n">
        <f aca="false">IF($B50&lt;=A_Laufzeit,G50-E50,0)</f>
        <v>3153.40257635043</v>
      </c>
      <c r="G50" s="31" t="n">
        <f aca="false">IF($B50&lt;=A_Laufzeit,IF($B50&lt;=A_KfW_tf,E50,$C$21),0)</f>
        <v>6000</v>
      </c>
      <c r="H50" s="31" t="n">
        <f aca="false">MAX(0,C50-F50)</f>
        <v>60104.3179491957</v>
      </c>
      <c r="I50" s="31" t="n">
        <f aca="false">IF($B50&lt;=A_Laufzeit,C50*MAX(0,$C$16-D50),0)</f>
        <v>0</v>
      </c>
    </row>
    <row r="51" customFormat="false" ht="15" hidden="false" customHeight="false" outlineLevel="0" collapsed="false">
      <c r="B51" s="36" t="n">
        <v>25</v>
      </c>
      <c r="C51" s="31" t="n">
        <f aca="false">H50</f>
        <v>60104.3179491957</v>
      </c>
      <c r="D51" s="34" t="n">
        <f aca="false">IF($B51&lt;=A_Zinsbindung,$C$10,A_Zins_Anschluss)</f>
        <v>0.045</v>
      </c>
      <c r="E51" s="31" t="n">
        <f aca="false">IF($B51&lt;=A_Laufzeit,C51*D51,0)</f>
        <v>2704.69430771381</v>
      </c>
      <c r="F51" s="31" t="n">
        <f aca="false">IF($B51&lt;=A_Laufzeit,G51-E51,0)</f>
        <v>3295.3056922862</v>
      </c>
      <c r="G51" s="31" t="n">
        <f aca="false">IF($B51&lt;=A_Laufzeit,IF($B51&lt;=A_KfW_tf,E51,$C$21),0)</f>
        <v>6000</v>
      </c>
      <c r="H51" s="31" t="n">
        <f aca="false">MAX(0,C51-F51)</f>
        <v>56809.0122569095</v>
      </c>
      <c r="I51" s="31" t="n">
        <f aca="false">IF($B51&lt;=A_Laufzeit,C51*MAX(0,$C$16-D51),0)</f>
        <v>0</v>
      </c>
    </row>
    <row r="52" customFormat="false" ht="15" hidden="false" customHeight="false" outlineLevel="0" collapsed="false">
      <c r="B52" s="36" t="n">
        <v>26</v>
      </c>
      <c r="C52" s="31" t="n">
        <f aca="false">H51</f>
        <v>56809.0122569095</v>
      </c>
      <c r="D52" s="34" t="n">
        <f aca="false">IF($B52&lt;=A_Zinsbindung,$C$10,A_Zins_Anschluss)</f>
        <v>0.045</v>
      </c>
      <c r="E52" s="31" t="n">
        <f aca="false">IF($B52&lt;=A_Laufzeit,C52*D52,0)</f>
        <v>2556.40555156093</v>
      </c>
      <c r="F52" s="31" t="n">
        <f aca="false">IF($B52&lt;=A_Laufzeit,G52-E52,0)</f>
        <v>3443.59444843907</v>
      </c>
      <c r="G52" s="31" t="n">
        <f aca="false">IF($B52&lt;=A_Laufzeit,IF($B52&lt;=A_KfW_tf,E52,$C$21),0)</f>
        <v>6000</v>
      </c>
      <c r="H52" s="31" t="n">
        <f aca="false">MAX(0,C52-F52)</f>
        <v>53365.4178084704</v>
      </c>
      <c r="I52" s="31" t="n">
        <f aca="false">IF($B52&lt;=A_Laufzeit,C52*MAX(0,$C$16-D52),0)</f>
        <v>0</v>
      </c>
    </row>
    <row r="53" customFormat="false" ht="15" hidden="false" customHeight="false" outlineLevel="0" collapsed="false">
      <c r="B53" s="36" t="n">
        <v>27</v>
      </c>
      <c r="C53" s="31" t="n">
        <f aca="false">H52</f>
        <v>53365.4178084704</v>
      </c>
      <c r="D53" s="34" t="n">
        <f aca="false">IF($B53&lt;=A_Zinsbindung,$C$10,A_Zins_Anschluss)</f>
        <v>0.045</v>
      </c>
      <c r="E53" s="31" t="n">
        <f aca="false">IF($B53&lt;=A_Laufzeit,C53*D53,0)</f>
        <v>2401.44380138117</v>
      </c>
      <c r="F53" s="31" t="n">
        <f aca="false">IF($B53&lt;=A_Laufzeit,G53-E53,0)</f>
        <v>3598.55619861883</v>
      </c>
      <c r="G53" s="31" t="n">
        <f aca="false">IF($B53&lt;=A_Laufzeit,IF($B53&lt;=A_KfW_tf,E53,$C$21),0)</f>
        <v>6000</v>
      </c>
      <c r="H53" s="31" t="n">
        <f aca="false">MAX(0,C53-F53)</f>
        <v>49766.8616098516</v>
      </c>
      <c r="I53" s="31" t="n">
        <f aca="false">IF($B53&lt;=A_Laufzeit,C53*MAX(0,$C$16-D53),0)</f>
        <v>0</v>
      </c>
    </row>
    <row r="54" customFormat="false" ht="15" hidden="false" customHeight="false" outlineLevel="0" collapsed="false">
      <c r="B54" s="36" t="n">
        <v>28</v>
      </c>
      <c r="C54" s="31" t="n">
        <f aca="false">H53</f>
        <v>49766.8616098516</v>
      </c>
      <c r="D54" s="34" t="n">
        <f aca="false">IF($B54&lt;=A_Zinsbindung,$C$10,A_Zins_Anschluss)</f>
        <v>0.045</v>
      </c>
      <c r="E54" s="31" t="n">
        <f aca="false">IF($B54&lt;=A_Laufzeit,C54*D54,0)</f>
        <v>2239.50877244332</v>
      </c>
      <c r="F54" s="31" t="n">
        <f aca="false">IF($B54&lt;=A_Laufzeit,G54-E54,0)</f>
        <v>3760.49122755668</v>
      </c>
      <c r="G54" s="31" t="n">
        <f aca="false">IF($B54&lt;=A_Laufzeit,IF($B54&lt;=A_KfW_tf,E54,$C$21),0)</f>
        <v>6000</v>
      </c>
      <c r="H54" s="31" t="n">
        <f aca="false">MAX(0,C54-F54)</f>
        <v>46006.3703822949</v>
      </c>
      <c r="I54" s="31" t="n">
        <f aca="false">IF($B54&lt;=A_Laufzeit,C54*MAX(0,$C$16-D54),0)</f>
        <v>0</v>
      </c>
    </row>
    <row r="55" customFormat="false" ht="15" hidden="false" customHeight="false" outlineLevel="0" collapsed="false">
      <c r="B55" s="36" t="n">
        <v>29</v>
      </c>
      <c r="C55" s="31" t="n">
        <f aca="false">H54</f>
        <v>46006.3703822949</v>
      </c>
      <c r="D55" s="34" t="n">
        <f aca="false">IF($B55&lt;=A_Zinsbindung,$C$10,A_Zins_Anschluss)</f>
        <v>0.045</v>
      </c>
      <c r="E55" s="31" t="n">
        <f aca="false">IF($B55&lt;=A_Laufzeit,C55*D55,0)</f>
        <v>2070.28666720327</v>
      </c>
      <c r="F55" s="31" t="n">
        <f aca="false">IF($B55&lt;=A_Laufzeit,G55-E55,0)</f>
        <v>3929.71333279673</v>
      </c>
      <c r="G55" s="31" t="n">
        <f aca="false">IF($B55&lt;=A_Laufzeit,IF($B55&lt;=A_KfW_tf,E55,$C$21),0)</f>
        <v>6000</v>
      </c>
      <c r="H55" s="31" t="n">
        <f aca="false">MAX(0,C55-F55)</f>
        <v>42076.6570494982</v>
      </c>
      <c r="I55" s="31" t="n">
        <f aca="false">IF($B55&lt;=A_Laufzeit,C55*MAX(0,$C$16-D55),0)</f>
        <v>0</v>
      </c>
    </row>
    <row r="56" customFormat="false" ht="15" hidden="false" customHeight="false" outlineLevel="0" collapsed="false">
      <c r="B56" s="36" t="n">
        <v>30</v>
      </c>
      <c r="C56" s="31" t="n">
        <f aca="false">H55</f>
        <v>42076.6570494982</v>
      </c>
      <c r="D56" s="34" t="n">
        <f aca="false">IF($B56&lt;=A_Zinsbindung,$C$10,A_Zins_Anschluss)</f>
        <v>0.045</v>
      </c>
      <c r="E56" s="31" t="n">
        <f aca="false">IF($B56&lt;=A_Laufzeit,C56*D56,0)</f>
        <v>1893.44956722742</v>
      </c>
      <c r="F56" s="31" t="n">
        <f aca="false">IF($B56&lt;=A_Laufzeit,G56-E56,0)</f>
        <v>4106.55043277258</v>
      </c>
      <c r="G56" s="31" t="n">
        <f aca="false">IF($B56&lt;=A_Laufzeit,IF($B56&lt;=A_KfW_tf,E56,$C$21),0)</f>
        <v>6000</v>
      </c>
      <c r="H56" s="31" t="n">
        <f aca="false">MAX(0,C56-F56)</f>
        <v>37970.1066167256</v>
      </c>
      <c r="I56" s="31" t="n">
        <f aca="false">IF($B56&lt;=A_Laufzeit,C56*MAX(0,$C$16-D56),0)</f>
        <v>0</v>
      </c>
    </row>
    <row r="57" customFormat="false" ht="15" hidden="false" customHeight="false" outlineLevel="0" collapsed="false">
      <c r="B57" s="36" t="n">
        <v>31</v>
      </c>
      <c r="C57" s="31" t="n">
        <f aca="false">H56</f>
        <v>37970.1066167256</v>
      </c>
      <c r="D57" s="34" t="n">
        <f aca="false">IF($B57&lt;=A_Zinsbindung,$C$10,A_Zins_Anschluss)</f>
        <v>0.045</v>
      </c>
      <c r="E57" s="31" t="n">
        <f aca="false">IF($B57&lt;=A_Laufzeit,C57*D57,0)</f>
        <v>0</v>
      </c>
      <c r="F57" s="31" t="n">
        <f aca="false">IF($B57&lt;=A_Laufzeit,G57-E57,0)</f>
        <v>0</v>
      </c>
      <c r="G57" s="31" t="n">
        <f aca="false">IF($B57&lt;=A_Laufzeit,IF($B57&lt;=A_KfW_tf,E57,$C$21),0)</f>
        <v>0</v>
      </c>
      <c r="H57" s="31" t="n">
        <f aca="false">MAX(0,C57-F57)</f>
        <v>37970.1066167256</v>
      </c>
      <c r="I57" s="31" t="n">
        <f aca="false">IF($B57&lt;=A_Laufzeit,C57*MAX(0,$C$16-D57),0)</f>
        <v>0</v>
      </c>
    </row>
    <row r="58" customFormat="false" ht="15" hidden="false" customHeight="false" outlineLevel="0" collapsed="false">
      <c r="B58" s="36" t="n">
        <v>32</v>
      </c>
      <c r="C58" s="31" t="n">
        <f aca="false">H57</f>
        <v>37970.1066167256</v>
      </c>
      <c r="D58" s="34" t="n">
        <f aca="false">IF($B58&lt;=A_Zinsbindung,$C$10,A_Zins_Anschluss)</f>
        <v>0.045</v>
      </c>
      <c r="E58" s="31" t="n">
        <f aca="false">IF($B58&lt;=A_Laufzeit,C58*D58,0)</f>
        <v>0</v>
      </c>
      <c r="F58" s="31" t="n">
        <f aca="false">IF($B58&lt;=A_Laufzeit,G58-E58,0)</f>
        <v>0</v>
      </c>
      <c r="G58" s="31" t="n">
        <f aca="false">IF($B58&lt;=A_Laufzeit,IF($B58&lt;=A_KfW_tf,E58,$C$21),0)</f>
        <v>0</v>
      </c>
      <c r="H58" s="31" t="n">
        <f aca="false">MAX(0,C58-F58)</f>
        <v>37970.1066167256</v>
      </c>
      <c r="I58" s="31" t="n">
        <f aca="false">IF($B58&lt;=A_Laufzeit,C58*MAX(0,$C$16-D58),0)</f>
        <v>0</v>
      </c>
    </row>
    <row r="59" customFormat="false" ht="15" hidden="false" customHeight="false" outlineLevel="0" collapsed="false">
      <c r="B59" s="36" t="n">
        <v>33</v>
      </c>
      <c r="C59" s="31" t="n">
        <f aca="false">H58</f>
        <v>37970.1066167256</v>
      </c>
      <c r="D59" s="34" t="n">
        <f aca="false">IF($B59&lt;=A_Zinsbindung,$C$10,A_Zins_Anschluss)</f>
        <v>0.045</v>
      </c>
      <c r="E59" s="31" t="n">
        <f aca="false">IF($B59&lt;=A_Laufzeit,C59*D59,0)</f>
        <v>0</v>
      </c>
      <c r="F59" s="31" t="n">
        <f aca="false">IF($B59&lt;=A_Laufzeit,G59-E59,0)</f>
        <v>0</v>
      </c>
      <c r="G59" s="31" t="n">
        <f aca="false">IF($B59&lt;=A_Laufzeit,IF($B59&lt;=A_KfW_tf,E59,$C$21),0)</f>
        <v>0</v>
      </c>
      <c r="H59" s="31" t="n">
        <f aca="false">MAX(0,C59-F59)</f>
        <v>37970.1066167256</v>
      </c>
      <c r="I59" s="31" t="n">
        <f aca="false">IF($B59&lt;=A_Laufzeit,C59*MAX(0,$C$16-D59),0)</f>
        <v>0</v>
      </c>
    </row>
    <row r="60" customFormat="false" ht="15" hidden="false" customHeight="false" outlineLevel="0" collapsed="false">
      <c r="B60" s="36" t="n">
        <v>34</v>
      </c>
      <c r="C60" s="31" t="n">
        <f aca="false">H59</f>
        <v>37970.1066167256</v>
      </c>
      <c r="D60" s="34" t="n">
        <f aca="false">IF($B60&lt;=A_Zinsbindung,$C$10,A_Zins_Anschluss)</f>
        <v>0.045</v>
      </c>
      <c r="E60" s="31" t="n">
        <f aca="false">IF($B60&lt;=A_Laufzeit,C60*D60,0)</f>
        <v>0</v>
      </c>
      <c r="F60" s="31" t="n">
        <f aca="false">IF($B60&lt;=A_Laufzeit,G60-E60,0)</f>
        <v>0</v>
      </c>
      <c r="G60" s="31" t="n">
        <f aca="false">IF($B60&lt;=A_Laufzeit,IF($B60&lt;=A_KfW_tf,E60,$C$21),0)</f>
        <v>0</v>
      </c>
      <c r="H60" s="31" t="n">
        <f aca="false">MAX(0,C60-F60)</f>
        <v>37970.1066167256</v>
      </c>
      <c r="I60" s="31" t="n">
        <f aca="false">IF($B60&lt;=A_Laufzeit,C60*MAX(0,$C$16-D60),0)</f>
        <v>0</v>
      </c>
    </row>
    <row r="61" customFormat="false" ht="15" hidden="false" customHeight="false" outlineLevel="0" collapsed="false">
      <c r="B61" s="36" t="n">
        <v>35</v>
      </c>
      <c r="C61" s="31" t="n">
        <f aca="false">H60</f>
        <v>37970.1066167256</v>
      </c>
      <c r="D61" s="34" t="n">
        <f aca="false">IF($B61&lt;=A_Zinsbindung,$C$10,A_Zins_Anschluss)</f>
        <v>0.045</v>
      </c>
      <c r="E61" s="31" t="n">
        <f aca="false">IF($B61&lt;=A_Laufzeit,C61*D61,0)</f>
        <v>0</v>
      </c>
      <c r="F61" s="31" t="n">
        <f aca="false">IF($B61&lt;=A_Laufzeit,G61-E61,0)</f>
        <v>0</v>
      </c>
      <c r="G61" s="31" t="n">
        <f aca="false">IF($B61&lt;=A_Laufzeit,IF($B61&lt;=A_KfW_tf,E61,$C$21),0)</f>
        <v>0</v>
      </c>
      <c r="H61" s="31" t="n">
        <f aca="false">MAX(0,C61-F61)</f>
        <v>37970.1066167256</v>
      </c>
      <c r="I61" s="31" t="n">
        <f aca="false">IF($B61&lt;=A_Laufzeit,C61*MAX(0,$C$16-D61),0)</f>
        <v>0</v>
      </c>
    </row>
    <row r="63" customFormat="false" ht="15" hidden="false" customHeight="false" outlineLevel="0" collapsed="false">
      <c r="B63" s="14" t="s">
        <v>683</v>
      </c>
      <c r="C63" s="14"/>
      <c r="D63" s="14"/>
      <c r="E63" s="14"/>
      <c r="F63" s="14"/>
      <c r="G63" s="14"/>
      <c r="H63" s="14"/>
      <c r="I63" s="14"/>
    </row>
    <row r="64" customFormat="false" ht="23.85" hidden="false" customHeight="false" outlineLevel="0" collapsed="false">
      <c r="B64" s="11" t="s">
        <v>51</v>
      </c>
      <c r="C64" s="11" t="s">
        <v>676</v>
      </c>
      <c r="D64" s="11" t="s">
        <v>677</v>
      </c>
      <c r="E64" s="11" t="s">
        <v>678</v>
      </c>
      <c r="F64" s="11" t="s">
        <v>679</v>
      </c>
      <c r="G64" s="11" t="s">
        <v>680</v>
      </c>
      <c r="H64" s="11" t="s">
        <v>681</v>
      </c>
      <c r="I64" s="11" t="s">
        <v>682</v>
      </c>
    </row>
    <row r="65" customFormat="false" ht="15" hidden="false" customHeight="false" outlineLevel="0" collapsed="false">
      <c r="B65" s="36" t="n">
        <v>1</v>
      </c>
      <c r="C65" s="31" t="n">
        <f aca="false">C14</f>
        <v>256125.667292948</v>
      </c>
      <c r="D65" s="34" t="n">
        <f aca="false">IF($B65&lt;=A_Zinsbindung,$C$17,A_Zins_Anschluss)</f>
        <v>0.0375</v>
      </c>
      <c r="E65" s="31" t="n">
        <f aca="false">IF($B65&lt;=A_Laufzeit,C65*D65,0)</f>
        <v>9604.71252348555</v>
      </c>
      <c r="F65" s="31" t="n">
        <f aca="false">IF($B65&lt;=A_Laufzeit,G65-E65,0)</f>
        <v>6403.1416823237</v>
      </c>
      <c r="G65" s="31" t="n">
        <f aca="false">IF($B65&lt;=A_Laufzeit,IF($B65&lt;=0,E65,$C$22),0)</f>
        <v>16007.8542058092</v>
      </c>
      <c r="H65" s="31" t="n">
        <f aca="false">MAX(0,C65-F65)</f>
        <v>249722.525610624</v>
      </c>
      <c r="I65" s="31" t="n">
        <f aca="false">IF($B65&lt;=A_Laufzeit,C65*MAX(0,$C$17-D65),0)</f>
        <v>0</v>
      </c>
    </row>
    <row r="66" customFormat="false" ht="15" hidden="false" customHeight="false" outlineLevel="0" collapsed="false">
      <c r="B66" s="36" t="n">
        <v>2</v>
      </c>
      <c r="C66" s="31" t="n">
        <f aca="false">H65</f>
        <v>249722.525610624</v>
      </c>
      <c r="D66" s="34" t="n">
        <f aca="false">IF($B66&lt;=A_Zinsbindung,$C$17,A_Zins_Anschluss)</f>
        <v>0.0375</v>
      </c>
      <c r="E66" s="31" t="n">
        <f aca="false">IF($B66&lt;=A_Laufzeit,C66*D66,0)</f>
        <v>9364.59471039841</v>
      </c>
      <c r="F66" s="31" t="n">
        <f aca="false">IF($B66&lt;=A_Laufzeit,G66-E66,0)</f>
        <v>6643.25949541084</v>
      </c>
      <c r="G66" s="31" t="n">
        <f aca="false">IF($B66&lt;=A_Laufzeit,IF($B66&lt;=0,E66,$C$22),0)</f>
        <v>16007.8542058092</v>
      </c>
      <c r="H66" s="31" t="n">
        <f aca="false">MAX(0,C66-F66)</f>
        <v>243079.266115213</v>
      </c>
      <c r="I66" s="31" t="n">
        <f aca="false">IF($B66&lt;=A_Laufzeit,C66*MAX(0,$C$17-D66),0)</f>
        <v>0</v>
      </c>
    </row>
    <row r="67" customFormat="false" ht="15" hidden="false" customHeight="false" outlineLevel="0" collapsed="false">
      <c r="B67" s="36" t="n">
        <v>3</v>
      </c>
      <c r="C67" s="31" t="n">
        <f aca="false">H66</f>
        <v>243079.266115213</v>
      </c>
      <c r="D67" s="34" t="n">
        <f aca="false">IF($B67&lt;=A_Zinsbindung,$C$17,A_Zins_Anschluss)</f>
        <v>0.0375</v>
      </c>
      <c r="E67" s="31" t="n">
        <f aca="false">IF($B67&lt;=A_Laufzeit,C67*D67,0)</f>
        <v>9115.4724793205</v>
      </c>
      <c r="F67" s="31" t="n">
        <f aca="false">IF($B67&lt;=A_Laufzeit,G67-E67,0)</f>
        <v>6892.38172648874</v>
      </c>
      <c r="G67" s="31" t="n">
        <f aca="false">IF($B67&lt;=A_Laufzeit,IF($B67&lt;=0,E67,$C$22),0)</f>
        <v>16007.8542058092</v>
      </c>
      <c r="H67" s="31" t="n">
        <f aca="false">MAX(0,C67-F67)</f>
        <v>236186.884388725</v>
      </c>
      <c r="I67" s="31" t="n">
        <f aca="false">IF($B67&lt;=A_Laufzeit,C67*MAX(0,$C$17-D67),0)</f>
        <v>0</v>
      </c>
    </row>
    <row r="68" customFormat="false" ht="15" hidden="false" customHeight="false" outlineLevel="0" collapsed="false">
      <c r="B68" s="36" t="n">
        <v>4</v>
      </c>
      <c r="C68" s="31" t="n">
        <f aca="false">H67</f>
        <v>236186.884388725</v>
      </c>
      <c r="D68" s="34" t="n">
        <f aca="false">IF($B68&lt;=A_Zinsbindung,$C$17,A_Zins_Anschluss)</f>
        <v>0.0375</v>
      </c>
      <c r="E68" s="31" t="n">
        <f aca="false">IF($B68&lt;=A_Laufzeit,C68*D68,0)</f>
        <v>8857.00816457717</v>
      </c>
      <c r="F68" s="31" t="n">
        <f aca="false">IF($B68&lt;=A_Laufzeit,G68-E68,0)</f>
        <v>7150.84604123207</v>
      </c>
      <c r="G68" s="31" t="n">
        <f aca="false">IF($B68&lt;=A_Laufzeit,IF($B68&lt;=0,E68,$C$22),0)</f>
        <v>16007.8542058092</v>
      </c>
      <c r="H68" s="31" t="n">
        <f aca="false">MAX(0,C68-F68)</f>
        <v>229036.038347493</v>
      </c>
      <c r="I68" s="31" t="n">
        <f aca="false">IF($B68&lt;=A_Laufzeit,C68*MAX(0,$C$17-D68),0)</f>
        <v>0</v>
      </c>
    </row>
    <row r="69" customFormat="false" ht="15" hidden="false" customHeight="false" outlineLevel="0" collapsed="false">
      <c r="B69" s="36" t="n">
        <v>5</v>
      </c>
      <c r="C69" s="31" t="n">
        <f aca="false">H68</f>
        <v>229036.038347493</v>
      </c>
      <c r="D69" s="34" t="n">
        <f aca="false">IF($B69&lt;=A_Zinsbindung,$C$17,A_Zins_Anschluss)</f>
        <v>0.0375</v>
      </c>
      <c r="E69" s="31" t="n">
        <f aca="false">IF($B69&lt;=A_Laufzeit,C69*D69,0)</f>
        <v>8588.85143803097</v>
      </c>
      <c r="F69" s="31" t="n">
        <f aca="false">IF($B69&lt;=A_Laufzeit,G69-E69,0)</f>
        <v>7419.00276777827</v>
      </c>
      <c r="G69" s="31" t="n">
        <f aca="false">IF($B69&lt;=A_Laufzeit,IF($B69&lt;=0,E69,$C$22),0)</f>
        <v>16007.8542058092</v>
      </c>
      <c r="H69" s="31" t="n">
        <f aca="false">MAX(0,C69-F69)</f>
        <v>221617.035579714</v>
      </c>
      <c r="I69" s="31" t="n">
        <f aca="false">IF($B69&lt;=A_Laufzeit,C69*MAX(0,$C$17-D69),0)</f>
        <v>0</v>
      </c>
    </row>
    <row r="70" customFormat="false" ht="15" hidden="false" customHeight="false" outlineLevel="0" collapsed="false">
      <c r="B70" s="36" t="n">
        <v>6</v>
      </c>
      <c r="C70" s="31" t="n">
        <f aca="false">H69</f>
        <v>221617.035579714</v>
      </c>
      <c r="D70" s="34" t="n">
        <f aca="false">IF($B70&lt;=A_Zinsbindung,$C$17,A_Zins_Anschluss)</f>
        <v>0.0375</v>
      </c>
      <c r="E70" s="31" t="n">
        <f aca="false">IF($B70&lt;=A_Laufzeit,C70*D70,0)</f>
        <v>8310.63883423928</v>
      </c>
      <c r="F70" s="31" t="n">
        <f aca="false">IF($B70&lt;=A_Laufzeit,G70-E70,0)</f>
        <v>7697.21537156996</v>
      </c>
      <c r="G70" s="31" t="n">
        <f aca="false">IF($B70&lt;=A_Laufzeit,IF($B70&lt;=0,E70,$C$22),0)</f>
        <v>16007.8542058092</v>
      </c>
      <c r="H70" s="31" t="n">
        <f aca="false">MAX(0,C70-F70)</f>
        <v>213919.820208144</v>
      </c>
      <c r="I70" s="31" t="n">
        <f aca="false">IF($B70&lt;=A_Laufzeit,C70*MAX(0,$C$17-D70),0)</f>
        <v>0</v>
      </c>
    </row>
    <row r="71" customFormat="false" ht="15" hidden="false" customHeight="false" outlineLevel="0" collapsed="false">
      <c r="B71" s="36" t="n">
        <v>7</v>
      </c>
      <c r="C71" s="31" t="n">
        <f aca="false">H70</f>
        <v>213919.820208144</v>
      </c>
      <c r="D71" s="34" t="n">
        <f aca="false">IF($B71&lt;=A_Zinsbindung,$C$17,A_Zins_Anschluss)</f>
        <v>0.0375</v>
      </c>
      <c r="E71" s="31" t="n">
        <f aca="false">IF($B71&lt;=A_Laufzeit,C71*D71,0)</f>
        <v>8021.99325780541</v>
      </c>
      <c r="F71" s="31" t="n">
        <f aca="false">IF($B71&lt;=A_Laufzeit,G71-E71,0)</f>
        <v>7985.86094800383</v>
      </c>
      <c r="G71" s="31" t="n">
        <f aca="false">IF($B71&lt;=A_Laufzeit,IF($B71&lt;=0,E71,$C$22),0)</f>
        <v>16007.8542058092</v>
      </c>
      <c r="H71" s="31" t="n">
        <f aca="false">MAX(0,C71-F71)</f>
        <v>205933.95926014</v>
      </c>
      <c r="I71" s="31" t="n">
        <f aca="false">IF($B71&lt;=A_Laufzeit,C71*MAX(0,$C$17-D71),0)</f>
        <v>0</v>
      </c>
    </row>
    <row r="72" customFormat="false" ht="15" hidden="false" customHeight="false" outlineLevel="0" collapsed="false">
      <c r="B72" s="36" t="n">
        <v>8</v>
      </c>
      <c r="C72" s="31" t="n">
        <f aca="false">H71</f>
        <v>205933.95926014</v>
      </c>
      <c r="D72" s="34" t="n">
        <f aca="false">IF($B72&lt;=A_Zinsbindung,$C$17,A_Zins_Anschluss)</f>
        <v>0.0375</v>
      </c>
      <c r="E72" s="31" t="n">
        <f aca="false">IF($B72&lt;=A_Laufzeit,C72*D72,0)</f>
        <v>7722.52347225527</v>
      </c>
      <c r="F72" s="31" t="n">
        <f aca="false">IF($B72&lt;=A_Laufzeit,G72-E72,0)</f>
        <v>8285.33073355398</v>
      </c>
      <c r="G72" s="31" t="n">
        <f aca="false">IF($B72&lt;=A_Laufzeit,IF($B72&lt;=0,E72,$C$22),0)</f>
        <v>16007.8542058092</v>
      </c>
      <c r="H72" s="31" t="n">
        <f aca="false">MAX(0,C72-F72)</f>
        <v>197648.628526587</v>
      </c>
      <c r="I72" s="31" t="n">
        <f aca="false">IF($B72&lt;=A_Laufzeit,C72*MAX(0,$C$17-D72),0)</f>
        <v>0</v>
      </c>
    </row>
    <row r="73" customFormat="false" ht="15" hidden="false" customHeight="false" outlineLevel="0" collapsed="false">
      <c r="B73" s="36" t="n">
        <v>9</v>
      </c>
      <c r="C73" s="31" t="n">
        <f aca="false">H72</f>
        <v>197648.628526587</v>
      </c>
      <c r="D73" s="34" t="n">
        <f aca="false">IF($B73&lt;=A_Zinsbindung,$C$17,A_Zins_Anschluss)</f>
        <v>0.0375</v>
      </c>
      <c r="E73" s="31" t="n">
        <f aca="false">IF($B73&lt;=A_Laufzeit,C73*D73,0)</f>
        <v>7411.82356974699</v>
      </c>
      <c r="F73" s="31" t="n">
        <f aca="false">IF($B73&lt;=A_Laufzeit,G73-E73,0)</f>
        <v>8596.03063606225</v>
      </c>
      <c r="G73" s="31" t="n">
        <f aca="false">IF($B73&lt;=A_Laufzeit,IF($B73&lt;=0,E73,$C$22),0)</f>
        <v>16007.8542058092</v>
      </c>
      <c r="H73" s="31" t="n">
        <f aca="false">MAX(0,C73-F73)</f>
        <v>189052.597890524</v>
      </c>
      <c r="I73" s="31" t="n">
        <f aca="false">IF($B73&lt;=A_Laufzeit,C73*MAX(0,$C$17-D73),0)</f>
        <v>0</v>
      </c>
    </row>
    <row r="74" customFormat="false" ht="15" hidden="false" customHeight="false" outlineLevel="0" collapsed="false">
      <c r="B74" s="36" t="n">
        <v>10</v>
      </c>
      <c r="C74" s="31" t="n">
        <f aca="false">H73</f>
        <v>189052.597890524</v>
      </c>
      <c r="D74" s="34" t="n">
        <f aca="false">IF($B74&lt;=A_Zinsbindung,$C$17,A_Zins_Anschluss)</f>
        <v>0.0375</v>
      </c>
      <c r="E74" s="31" t="n">
        <f aca="false">IF($B74&lt;=A_Laufzeit,C74*D74,0)</f>
        <v>7089.47242089466</v>
      </c>
      <c r="F74" s="31" t="n">
        <f aca="false">IF($B74&lt;=A_Laufzeit,G74-E74,0)</f>
        <v>8918.38178491458</v>
      </c>
      <c r="G74" s="31" t="n">
        <f aca="false">IF($B74&lt;=A_Laufzeit,IF($B74&lt;=0,E74,$C$22),0)</f>
        <v>16007.8542058092</v>
      </c>
      <c r="H74" s="31" t="n">
        <f aca="false">MAX(0,C74-F74)</f>
        <v>180134.21610561</v>
      </c>
      <c r="I74" s="31" t="n">
        <f aca="false">IF($B74&lt;=A_Laufzeit,C74*MAX(0,$C$17-D74),0)</f>
        <v>0</v>
      </c>
    </row>
    <row r="75" customFormat="false" ht="15" hidden="false" customHeight="false" outlineLevel="0" collapsed="false">
      <c r="B75" s="36" t="n">
        <v>11</v>
      </c>
      <c r="C75" s="31" t="n">
        <f aca="false">H74</f>
        <v>180134.21610561</v>
      </c>
      <c r="D75" s="34" t="n">
        <f aca="false">IF($B75&lt;=A_Zinsbindung,$C$17,A_Zins_Anschluss)</f>
        <v>0.045</v>
      </c>
      <c r="E75" s="31" t="n">
        <f aca="false">IF($B75&lt;=A_Laufzeit,C75*D75,0)</f>
        <v>8106.03972475243</v>
      </c>
      <c r="F75" s="31" t="n">
        <f aca="false">IF($B75&lt;=A_Laufzeit,G75-E75,0)</f>
        <v>7901.81448105681</v>
      </c>
      <c r="G75" s="31" t="n">
        <f aca="false">IF($B75&lt;=A_Laufzeit,IF($B75&lt;=0,E75,$C$22),0)</f>
        <v>16007.8542058092</v>
      </c>
      <c r="H75" s="31" t="n">
        <f aca="false">MAX(0,C75-F75)</f>
        <v>172232.401624553</v>
      </c>
      <c r="I75" s="31" t="n">
        <f aca="false">IF($B75&lt;=A_Laufzeit,C75*MAX(0,$C$17-D75),0)</f>
        <v>0</v>
      </c>
    </row>
    <row r="76" customFormat="false" ht="15" hidden="false" customHeight="false" outlineLevel="0" collapsed="false">
      <c r="B76" s="36" t="n">
        <v>12</v>
      </c>
      <c r="C76" s="31" t="n">
        <f aca="false">H75</f>
        <v>172232.401624553</v>
      </c>
      <c r="D76" s="34" t="n">
        <f aca="false">IF($B76&lt;=A_Zinsbindung,$C$17,A_Zins_Anschluss)</f>
        <v>0.045</v>
      </c>
      <c r="E76" s="31" t="n">
        <f aca="false">IF($B76&lt;=A_Laufzeit,C76*D76,0)</f>
        <v>7750.45807310488</v>
      </c>
      <c r="F76" s="31" t="n">
        <f aca="false">IF($B76&lt;=A_Laufzeit,G76-E76,0)</f>
        <v>8257.39613270437</v>
      </c>
      <c r="G76" s="31" t="n">
        <f aca="false">IF($B76&lt;=A_Laufzeit,IF($B76&lt;=0,E76,$C$22),0)</f>
        <v>16007.8542058092</v>
      </c>
      <c r="H76" s="31" t="n">
        <f aca="false">MAX(0,C76-F76)</f>
        <v>163975.005491848</v>
      </c>
      <c r="I76" s="31" t="n">
        <f aca="false">IF($B76&lt;=A_Laufzeit,C76*MAX(0,$C$17-D76),0)</f>
        <v>0</v>
      </c>
    </row>
    <row r="77" customFormat="false" ht="15" hidden="false" customHeight="false" outlineLevel="0" collapsed="false">
      <c r="B77" s="36" t="n">
        <v>13</v>
      </c>
      <c r="C77" s="31" t="n">
        <f aca="false">H76</f>
        <v>163975.005491848</v>
      </c>
      <c r="D77" s="34" t="n">
        <f aca="false">IF($B77&lt;=A_Zinsbindung,$C$17,A_Zins_Anschluss)</f>
        <v>0.045</v>
      </c>
      <c r="E77" s="31" t="n">
        <f aca="false">IF($B77&lt;=A_Laufzeit,C77*D77,0)</f>
        <v>7378.87524713318</v>
      </c>
      <c r="F77" s="31" t="n">
        <f aca="false">IF($B77&lt;=A_Laufzeit,G77-E77,0)</f>
        <v>8628.97895867606</v>
      </c>
      <c r="G77" s="31" t="n">
        <f aca="false">IF($B77&lt;=A_Laufzeit,IF($B77&lt;=0,E77,$C$22),0)</f>
        <v>16007.8542058092</v>
      </c>
      <c r="H77" s="31" t="n">
        <f aca="false">MAX(0,C77-F77)</f>
        <v>155346.026533172</v>
      </c>
      <c r="I77" s="31" t="n">
        <f aca="false">IF($B77&lt;=A_Laufzeit,C77*MAX(0,$C$17-D77),0)</f>
        <v>0</v>
      </c>
    </row>
    <row r="78" customFormat="false" ht="15" hidden="false" customHeight="false" outlineLevel="0" collapsed="false">
      <c r="B78" s="36" t="n">
        <v>14</v>
      </c>
      <c r="C78" s="31" t="n">
        <f aca="false">H77</f>
        <v>155346.026533172</v>
      </c>
      <c r="D78" s="34" t="n">
        <f aca="false">IF($B78&lt;=A_Zinsbindung,$C$17,A_Zins_Anschluss)</f>
        <v>0.045</v>
      </c>
      <c r="E78" s="31" t="n">
        <f aca="false">IF($B78&lt;=A_Laufzeit,C78*D78,0)</f>
        <v>6990.57119399276</v>
      </c>
      <c r="F78" s="31" t="n">
        <f aca="false">IF($B78&lt;=A_Laufzeit,G78-E78,0)</f>
        <v>9017.28301181649</v>
      </c>
      <c r="G78" s="31" t="n">
        <f aca="false">IF($B78&lt;=A_Laufzeit,IF($B78&lt;=0,E78,$C$22),0)</f>
        <v>16007.8542058092</v>
      </c>
      <c r="H78" s="31" t="n">
        <f aca="false">MAX(0,C78-F78)</f>
        <v>146328.743521356</v>
      </c>
      <c r="I78" s="31" t="n">
        <f aca="false">IF($B78&lt;=A_Laufzeit,C78*MAX(0,$C$17-D78),0)</f>
        <v>0</v>
      </c>
    </row>
    <row r="79" customFormat="false" ht="15" hidden="false" customHeight="false" outlineLevel="0" collapsed="false">
      <c r="B79" s="36" t="n">
        <v>15</v>
      </c>
      <c r="C79" s="31" t="n">
        <f aca="false">H78</f>
        <v>146328.743521356</v>
      </c>
      <c r="D79" s="34" t="n">
        <f aca="false">IF($B79&lt;=A_Zinsbindung,$C$17,A_Zins_Anschluss)</f>
        <v>0.045</v>
      </c>
      <c r="E79" s="31" t="n">
        <f aca="false">IF($B79&lt;=A_Laufzeit,C79*D79,0)</f>
        <v>6584.79345846102</v>
      </c>
      <c r="F79" s="31" t="n">
        <f aca="false">IF($B79&lt;=A_Laufzeit,G79-E79,0)</f>
        <v>9423.06074734823</v>
      </c>
      <c r="G79" s="31" t="n">
        <f aca="false">IF($B79&lt;=A_Laufzeit,IF($B79&lt;=0,E79,$C$22),0)</f>
        <v>16007.8542058092</v>
      </c>
      <c r="H79" s="31" t="n">
        <f aca="false">MAX(0,C79-F79)</f>
        <v>136905.682774008</v>
      </c>
      <c r="I79" s="31" t="n">
        <f aca="false">IF($B79&lt;=A_Laufzeit,C79*MAX(0,$C$17-D79),0)</f>
        <v>0</v>
      </c>
    </row>
    <row r="80" customFormat="false" ht="15" hidden="false" customHeight="false" outlineLevel="0" collapsed="false">
      <c r="B80" s="36" t="n">
        <v>16</v>
      </c>
      <c r="C80" s="31" t="n">
        <f aca="false">H79</f>
        <v>136905.682774008</v>
      </c>
      <c r="D80" s="34" t="n">
        <f aca="false">IF($B80&lt;=A_Zinsbindung,$C$17,A_Zins_Anschluss)</f>
        <v>0.045</v>
      </c>
      <c r="E80" s="31" t="n">
        <f aca="false">IF($B80&lt;=A_Laufzeit,C80*D80,0)</f>
        <v>6160.75572483035</v>
      </c>
      <c r="F80" s="31" t="n">
        <f aca="false">IF($B80&lt;=A_Laufzeit,G80-E80,0)</f>
        <v>9847.0984809789</v>
      </c>
      <c r="G80" s="31" t="n">
        <f aca="false">IF($B80&lt;=A_Laufzeit,IF($B80&lt;=0,E80,$C$22),0)</f>
        <v>16007.8542058092</v>
      </c>
      <c r="H80" s="31" t="n">
        <f aca="false">MAX(0,C80-F80)</f>
        <v>127058.584293029</v>
      </c>
      <c r="I80" s="31" t="n">
        <f aca="false">IF($B80&lt;=A_Laufzeit,C80*MAX(0,$C$17-D80),0)</f>
        <v>0</v>
      </c>
    </row>
    <row r="81" customFormat="false" ht="15" hidden="false" customHeight="false" outlineLevel="0" collapsed="false">
      <c r="B81" s="36" t="n">
        <v>17</v>
      </c>
      <c r="C81" s="31" t="n">
        <f aca="false">H80</f>
        <v>127058.584293029</v>
      </c>
      <c r="D81" s="34" t="n">
        <f aca="false">IF($B81&lt;=A_Zinsbindung,$C$17,A_Zins_Anschluss)</f>
        <v>0.045</v>
      </c>
      <c r="E81" s="31" t="n">
        <f aca="false">IF($B81&lt;=A_Laufzeit,C81*D81,0)</f>
        <v>5717.6362931863</v>
      </c>
      <c r="F81" s="31" t="n">
        <f aca="false">IF($B81&lt;=A_Laufzeit,G81-E81,0)</f>
        <v>10290.2179126229</v>
      </c>
      <c r="G81" s="31" t="n">
        <f aca="false">IF($B81&lt;=A_Laufzeit,IF($B81&lt;=0,E81,$C$22),0)</f>
        <v>16007.8542058092</v>
      </c>
      <c r="H81" s="31" t="n">
        <f aca="false">MAX(0,C81-F81)</f>
        <v>116768.366380406</v>
      </c>
      <c r="I81" s="31" t="n">
        <f aca="false">IF($B81&lt;=A_Laufzeit,C81*MAX(0,$C$17-D81),0)</f>
        <v>0</v>
      </c>
    </row>
    <row r="82" customFormat="false" ht="15" hidden="false" customHeight="false" outlineLevel="0" collapsed="false">
      <c r="B82" s="36" t="n">
        <v>18</v>
      </c>
      <c r="C82" s="31" t="n">
        <f aca="false">H81</f>
        <v>116768.366380406</v>
      </c>
      <c r="D82" s="34" t="n">
        <f aca="false">IF($B82&lt;=A_Zinsbindung,$C$17,A_Zins_Anschluss)</f>
        <v>0.045</v>
      </c>
      <c r="E82" s="31" t="n">
        <f aca="false">IF($B82&lt;=A_Laufzeit,C82*D82,0)</f>
        <v>5254.57648711826</v>
      </c>
      <c r="F82" s="31" t="n">
        <f aca="false">IF($B82&lt;=A_Laufzeit,G82-E82,0)</f>
        <v>10753.277718691</v>
      </c>
      <c r="G82" s="31" t="n">
        <f aca="false">IF($B82&lt;=A_Laufzeit,IF($B82&lt;=0,E82,$C$22),0)</f>
        <v>16007.8542058092</v>
      </c>
      <c r="H82" s="31" t="n">
        <f aca="false">MAX(0,C82-F82)</f>
        <v>106015.088661715</v>
      </c>
      <c r="I82" s="31" t="n">
        <f aca="false">IF($B82&lt;=A_Laufzeit,C82*MAX(0,$C$17-D82),0)</f>
        <v>0</v>
      </c>
    </row>
    <row r="83" customFormat="false" ht="15" hidden="false" customHeight="false" outlineLevel="0" collapsed="false">
      <c r="B83" s="36" t="n">
        <v>19</v>
      </c>
      <c r="C83" s="31" t="n">
        <f aca="false">H82</f>
        <v>106015.088661715</v>
      </c>
      <c r="D83" s="34" t="n">
        <f aca="false">IF($B83&lt;=A_Zinsbindung,$C$17,A_Zins_Anschluss)</f>
        <v>0.045</v>
      </c>
      <c r="E83" s="31" t="n">
        <f aca="false">IF($B83&lt;=A_Laufzeit,C83*D83,0)</f>
        <v>4770.67898977717</v>
      </c>
      <c r="F83" s="31" t="n">
        <f aca="false">IF($B83&lt;=A_Laufzeit,G83-E83,0)</f>
        <v>11237.1752160321</v>
      </c>
      <c r="G83" s="31" t="n">
        <f aca="false">IF($B83&lt;=A_Laufzeit,IF($B83&lt;=0,E83,$C$22),0)</f>
        <v>16007.8542058092</v>
      </c>
      <c r="H83" s="31" t="n">
        <f aca="false">MAX(0,C83-F83)</f>
        <v>94777.9134456828</v>
      </c>
      <c r="I83" s="31" t="n">
        <f aca="false">IF($B83&lt;=A_Laufzeit,C83*MAX(0,$C$17-D83),0)</f>
        <v>0</v>
      </c>
    </row>
    <row r="84" customFormat="false" ht="15" hidden="false" customHeight="false" outlineLevel="0" collapsed="false">
      <c r="B84" s="36" t="n">
        <v>20</v>
      </c>
      <c r="C84" s="31" t="n">
        <f aca="false">H83</f>
        <v>94777.9134456828</v>
      </c>
      <c r="D84" s="34" t="n">
        <f aca="false">IF($B84&lt;=A_Zinsbindung,$C$17,A_Zins_Anschluss)</f>
        <v>0.045</v>
      </c>
      <c r="E84" s="31" t="n">
        <f aca="false">IF($B84&lt;=A_Laufzeit,C84*D84,0)</f>
        <v>4265.00610505573</v>
      </c>
      <c r="F84" s="31" t="n">
        <f aca="false">IF($B84&lt;=A_Laufzeit,G84-E84,0)</f>
        <v>11742.8481007535</v>
      </c>
      <c r="G84" s="31" t="n">
        <f aca="false">IF($B84&lt;=A_Laufzeit,IF($B84&lt;=0,E84,$C$22),0)</f>
        <v>16007.8542058092</v>
      </c>
      <c r="H84" s="31" t="n">
        <f aca="false">MAX(0,C84-F84)</f>
        <v>83035.0653449293</v>
      </c>
      <c r="I84" s="31" t="n">
        <f aca="false">IF($B84&lt;=A_Laufzeit,C84*MAX(0,$C$17-D84),0)</f>
        <v>0</v>
      </c>
    </row>
    <row r="85" customFormat="false" ht="15" hidden="false" customHeight="false" outlineLevel="0" collapsed="false">
      <c r="B85" s="36" t="n">
        <v>21</v>
      </c>
      <c r="C85" s="31" t="n">
        <f aca="false">H84</f>
        <v>83035.0653449293</v>
      </c>
      <c r="D85" s="34" t="n">
        <f aca="false">IF($B85&lt;=A_Zinsbindung,$C$17,A_Zins_Anschluss)</f>
        <v>0.045</v>
      </c>
      <c r="E85" s="31" t="n">
        <f aca="false">IF($B85&lt;=A_Laufzeit,C85*D85,0)</f>
        <v>3736.57794052182</v>
      </c>
      <c r="F85" s="31" t="n">
        <f aca="false">IF($B85&lt;=A_Laufzeit,G85-E85,0)</f>
        <v>12271.2762652874</v>
      </c>
      <c r="G85" s="31" t="n">
        <f aca="false">IF($B85&lt;=A_Laufzeit,IF($B85&lt;=0,E85,$C$22),0)</f>
        <v>16007.8542058092</v>
      </c>
      <c r="H85" s="31" t="n">
        <f aca="false">MAX(0,C85-F85)</f>
        <v>70763.7890796418</v>
      </c>
      <c r="I85" s="31" t="n">
        <f aca="false">IF($B85&lt;=A_Laufzeit,C85*MAX(0,$C$17-D85),0)</f>
        <v>0</v>
      </c>
    </row>
    <row r="86" customFormat="false" ht="15" hidden="false" customHeight="false" outlineLevel="0" collapsed="false">
      <c r="B86" s="36" t="n">
        <v>22</v>
      </c>
      <c r="C86" s="31" t="n">
        <f aca="false">H85</f>
        <v>70763.7890796418</v>
      </c>
      <c r="D86" s="34" t="n">
        <f aca="false">IF($B86&lt;=A_Zinsbindung,$C$17,A_Zins_Anschluss)</f>
        <v>0.045</v>
      </c>
      <c r="E86" s="31" t="n">
        <f aca="false">IF($B86&lt;=A_Laufzeit,C86*D86,0)</f>
        <v>3184.37050858388</v>
      </c>
      <c r="F86" s="31" t="n">
        <f aca="false">IF($B86&lt;=A_Laufzeit,G86-E86,0)</f>
        <v>12823.4836972254</v>
      </c>
      <c r="G86" s="31" t="n">
        <f aca="false">IF($B86&lt;=A_Laufzeit,IF($B86&lt;=0,E86,$C$22),0)</f>
        <v>16007.8542058092</v>
      </c>
      <c r="H86" s="31" t="n">
        <f aca="false">MAX(0,C86-F86)</f>
        <v>57940.3053824165</v>
      </c>
      <c r="I86" s="31" t="n">
        <f aca="false">IF($B86&lt;=A_Laufzeit,C86*MAX(0,$C$17-D86),0)</f>
        <v>0</v>
      </c>
    </row>
    <row r="87" customFormat="false" ht="15" hidden="false" customHeight="false" outlineLevel="0" collapsed="false">
      <c r="B87" s="36" t="n">
        <v>23</v>
      </c>
      <c r="C87" s="31" t="n">
        <f aca="false">H86</f>
        <v>57940.3053824165</v>
      </c>
      <c r="D87" s="34" t="n">
        <f aca="false">IF($B87&lt;=A_Zinsbindung,$C$17,A_Zins_Anschluss)</f>
        <v>0.045</v>
      </c>
      <c r="E87" s="31" t="n">
        <f aca="false">IF($B87&lt;=A_Laufzeit,C87*D87,0)</f>
        <v>2607.31374220874</v>
      </c>
      <c r="F87" s="31" t="n">
        <f aca="false">IF($B87&lt;=A_Laufzeit,G87-E87,0)</f>
        <v>13400.5404636005</v>
      </c>
      <c r="G87" s="31" t="n">
        <f aca="false">IF($B87&lt;=A_Laufzeit,IF($B87&lt;=0,E87,$C$22),0)</f>
        <v>16007.8542058092</v>
      </c>
      <c r="H87" s="31" t="n">
        <f aca="false">MAX(0,C87-F87)</f>
        <v>44539.764918816</v>
      </c>
      <c r="I87" s="31" t="n">
        <f aca="false">IF($B87&lt;=A_Laufzeit,C87*MAX(0,$C$17-D87),0)</f>
        <v>0</v>
      </c>
    </row>
    <row r="88" customFormat="false" ht="15" hidden="false" customHeight="false" outlineLevel="0" collapsed="false">
      <c r="B88" s="36" t="n">
        <v>24</v>
      </c>
      <c r="C88" s="31" t="n">
        <f aca="false">H87</f>
        <v>44539.764918816</v>
      </c>
      <c r="D88" s="34" t="n">
        <f aca="false">IF($B88&lt;=A_Zinsbindung,$C$17,A_Zins_Anschluss)</f>
        <v>0.045</v>
      </c>
      <c r="E88" s="31" t="n">
        <f aca="false">IF($B88&lt;=A_Laufzeit,C88*D88,0)</f>
        <v>2004.28942134672</v>
      </c>
      <c r="F88" s="31" t="n">
        <f aca="false">IF($B88&lt;=A_Laufzeit,G88-E88,0)</f>
        <v>14003.5647844625</v>
      </c>
      <c r="G88" s="31" t="n">
        <f aca="false">IF($B88&lt;=A_Laufzeit,IF($B88&lt;=0,E88,$C$22),0)</f>
        <v>16007.8542058092</v>
      </c>
      <c r="H88" s="31" t="n">
        <f aca="false">MAX(0,C88-F88)</f>
        <v>30536.2001343534</v>
      </c>
      <c r="I88" s="31" t="n">
        <f aca="false">IF($B88&lt;=A_Laufzeit,C88*MAX(0,$C$17-D88),0)</f>
        <v>0</v>
      </c>
    </row>
    <row r="89" customFormat="false" ht="15" hidden="false" customHeight="false" outlineLevel="0" collapsed="false">
      <c r="B89" s="36" t="n">
        <v>25</v>
      </c>
      <c r="C89" s="31" t="n">
        <f aca="false">H88</f>
        <v>30536.2001343534</v>
      </c>
      <c r="D89" s="34" t="n">
        <f aca="false">IF($B89&lt;=A_Zinsbindung,$C$17,A_Zins_Anschluss)</f>
        <v>0.045</v>
      </c>
      <c r="E89" s="31" t="n">
        <f aca="false">IF($B89&lt;=A_Laufzeit,C89*D89,0)</f>
        <v>1374.12900604591</v>
      </c>
      <c r="F89" s="31" t="n">
        <f aca="false">IF($B89&lt;=A_Laufzeit,G89-E89,0)</f>
        <v>14633.7251997633</v>
      </c>
      <c r="G89" s="31" t="n">
        <f aca="false">IF($B89&lt;=A_Laufzeit,IF($B89&lt;=0,E89,$C$22),0)</f>
        <v>16007.8542058092</v>
      </c>
      <c r="H89" s="31" t="n">
        <f aca="false">MAX(0,C89-F89)</f>
        <v>15902.4749345901</v>
      </c>
      <c r="I89" s="31" t="n">
        <f aca="false">IF($B89&lt;=A_Laufzeit,C89*MAX(0,$C$17-D89),0)</f>
        <v>0</v>
      </c>
    </row>
    <row r="90" customFormat="false" ht="15" hidden="false" customHeight="false" outlineLevel="0" collapsed="false">
      <c r="B90" s="36" t="n">
        <v>26</v>
      </c>
      <c r="C90" s="31" t="n">
        <f aca="false">H89</f>
        <v>15902.4749345901</v>
      </c>
      <c r="D90" s="34" t="n">
        <f aca="false">IF($B90&lt;=A_Zinsbindung,$C$17,A_Zins_Anschluss)</f>
        <v>0.045</v>
      </c>
      <c r="E90" s="31" t="n">
        <f aca="false">IF($B90&lt;=A_Laufzeit,C90*D90,0)</f>
        <v>715.611372056555</v>
      </c>
      <c r="F90" s="31" t="n">
        <f aca="false">IF($B90&lt;=A_Laufzeit,G90-E90,0)</f>
        <v>15292.2428337527</v>
      </c>
      <c r="G90" s="31" t="n">
        <f aca="false">IF($B90&lt;=A_Laufzeit,IF($B90&lt;=0,E90,$C$22),0)</f>
        <v>16007.8542058092</v>
      </c>
      <c r="H90" s="31" t="n">
        <f aca="false">MAX(0,C90-F90)</f>
        <v>610.232100837422</v>
      </c>
      <c r="I90" s="31" t="n">
        <f aca="false">IF($B90&lt;=A_Laufzeit,C90*MAX(0,$C$17-D90),0)</f>
        <v>0</v>
      </c>
    </row>
    <row r="91" customFormat="false" ht="15" hidden="false" customHeight="false" outlineLevel="0" collapsed="false">
      <c r="B91" s="36" t="n">
        <v>27</v>
      </c>
      <c r="C91" s="31" t="n">
        <f aca="false">H90</f>
        <v>610.232100837422</v>
      </c>
      <c r="D91" s="34" t="n">
        <f aca="false">IF($B91&lt;=A_Zinsbindung,$C$17,A_Zins_Anschluss)</f>
        <v>0.045</v>
      </c>
      <c r="E91" s="31" t="n">
        <f aca="false">IF($B91&lt;=A_Laufzeit,C91*D91,0)</f>
        <v>27.460444537684</v>
      </c>
      <c r="F91" s="31" t="n">
        <f aca="false">IF($B91&lt;=A_Laufzeit,G91-E91,0)</f>
        <v>15980.3937612716</v>
      </c>
      <c r="G91" s="31" t="n">
        <f aca="false">IF($B91&lt;=A_Laufzeit,IF($B91&lt;=0,E91,$C$22),0)</f>
        <v>16007.8542058092</v>
      </c>
      <c r="H91" s="31" t="n">
        <f aca="false">MAX(0,C91-F91)</f>
        <v>0</v>
      </c>
      <c r="I91" s="31" t="n">
        <f aca="false">IF($B91&lt;=A_Laufzeit,C91*MAX(0,$C$17-D91),0)</f>
        <v>0</v>
      </c>
    </row>
    <row r="92" customFormat="false" ht="15" hidden="false" customHeight="false" outlineLevel="0" collapsed="false">
      <c r="B92" s="36" t="n">
        <v>28</v>
      </c>
      <c r="C92" s="31" t="n">
        <f aca="false">H91</f>
        <v>0</v>
      </c>
      <c r="D92" s="34" t="n">
        <f aca="false">IF($B92&lt;=A_Zinsbindung,$C$17,A_Zins_Anschluss)</f>
        <v>0.045</v>
      </c>
      <c r="E92" s="31" t="n">
        <f aca="false">IF($B92&lt;=A_Laufzeit,C92*D92,0)</f>
        <v>0</v>
      </c>
      <c r="F92" s="31" t="n">
        <f aca="false">IF($B92&lt;=A_Laufzeit,G92-E92,0)</f>
        <v>16007.8542058092</v>
      </c>
      <c r="G92" s="31" t="n">
        <f aca="false">IF($B92&lt;=A_Laufzeit,IF($B92&lt;=0,E92,$C$22),0)</f>
        <v>16007.8542058092</v>
      </c>
      <c r="H92" s="31" t="n">
        <f aca="false">MAX(0,C92-F92)</f>
        <v>0</v>
      </c>
      <c r="I92" s="31" t="n">
        <f aca="false">IF($B92&lt;=A_Laufzeit,C92*MAX(0,$C$17-D92),0)</f>
        <v>0</v>
      </c>
    </row>
    <row r="93" customFormat="false" ht="15" hidden="false" customHeight="false" outlineLevel="0" collapsed="false">
      <c r="B93" s="36" t="n">
        <v>29</v>
      </c>
      <c r="C93" s="31" t="n">
        <f aca="false">H92</f>
        <v>0</v>
      </c>
      <c r="D93" s="34" t="n">
        <f aca="false">IF($B93&lt;=A_Zinsbindung,$C$17,A_Zins_Anschluss)</f>
        <v>0.045</v>
      </c>
      <c r="E93" s="31" t="n">
        <f aca="false">IF($B93&lt;=A_Laufzeit,C93*D93,0)</f>
        <v>0</v>
      </c>
      <c r="F93" s="31" t="n">
        <f aca="false">IF($B93&lt;=A_Laufzeit,G93-E93,0)</f>
        <v>16007.8542058092</v>
      </c>
      <c r="G93" s="31" t="n">
        <f aca="false">IF($B93&lt;=A_Laufzeit,IF($B93&lt;=0,E93,$C$22),0)</f>
        <v>16007.8542058092</v>
      </c>
      <c r="H93" s="31" t="n">
        <f aca="false">MAX(0,C93-F93)</f>
        <v>0</v>
      </c>
      <c r="I93" s="31" t="n">
        <f aca="false">IF($B93&lt;=A_Laufzeit,C93*MAX(0,$C$17-D93),0)</f>
        <v>0</v>
      </c>
    </row>
    <row r="94" customFormat="false" ht="15" hidden="false" customHeight="false" outlineLevel="0" collapsed="false">
      <c r="B94" s="36" t="n">
        <v>30</v>
      </c>
      <c r="C94" s="31" t="n">
        <f aca="false">H93</f>
        <v>0</v>
      </c>
      <c r="D94" s="34" t="n">
        <f aca="false">IF($B94&lt;=A_Zinsbindung,$C$17,A_Zins_Anschluss)</f>
        <v>0.045</v>
      </c>
      <c r="E94" s="31" t="n">
        <f aca="false">IF($B94&lt;=A_Laufzeit,C94*D94,0)</f>
        <v>0</v>
      </c>
      <c r="F94" s="31" t="n">
        <f aca="false">IF($B94&lt;=A_Laufzeit,G94-E94,0)</f>
        <v>16007.8542058092</v>
      </c>
      <c r="G94" s="31" t="n">
        <f aca="false">IF($B94&lt;=A_Laufzeit,IF($B94&lt;=0,E94,$C$22),0)</f>
        <v>16007.8542058092</v>
      </c>
      <c r="H94" s="31" t="n">
        <f aca="false">MAX(0,C94-F94)</f>
        <v>0</v>
      </c>
      <c r="I94" s="31" t="n">
        <f aca="false">IF($B94&lt;=A_Laufzeit,C94*MAX(0,$C$17-D94),0)</f>
        <v>0</v>
      </c>
    </row>
    <row r="95" customFormat="false" ht="15" hidden="false" customHeight="false" outlineLevel="0" collapsed="false">
      <c r="B95" s="36" t="n">
        <v>31</v>
      </c>
      <c r="C95" s="31" t="n">
        <f aca="false">H94</f>
        <v>0</v>
      </c>
      <c r="D95" s="34" t="n">
        <f aca="false">IF($B95&lt;=A_Zinsbindung,$C$17,A_Zins_Anschluss)</f>
        <v>0.045</v>
      </c>
      <c r="E95" s="31" t="n">
        <f aca="false">IF($B95&lt;=A_Laufzeit,C95*D95,0)</f>
        <v>0</v>
      </c>
      <c r="F95" s="31" t="n">
        <f aca="false">IF($B95&lt;=A_Laufzeit,G95-E95,0)</f>
        <v>0</v>
      </c>
      <c r="G95" s="31" t="n">
        <f aca="false">IF($B95&lt;=A_Laufzeit,IF($B95&lt;=0,E95,$C$22),0)</f>
        <v>0</v>
      </c>
      <c r="H95" s="31" t="n">
        <f aca="false">MAX(0,C95-F95)</f>
        <v>0</v>
      </c>
      <c r="I95" s="31" t="n">
        <f aca="false">IF($B95&lt;=A_Laufzeit,C95*MAX(0,$C$17-D95),0)</f>
        <v>0</v>
      </c>
    </row>
    <row r="96" customFormat="false" ht="15" hidden="false" customHeight="false" outlineLevel="0" collapsed="false">
      <c r="B96" s="36" t="n">
        <v>32</v>
      </c>
      <c r="C96" s="31" t="n">
        <f aca="false">H95</f>
        <v>0</v>
      </c>
      <c r="D96" s="34" t="n">
        <f aca="false">IF($B96&lt;=A_Zinsbindung,$C$17,A_Zins_Anschluss)</f>
        <v>0.045</v>
      </c>
      <c r="E96" s="31" t="n">
        <f aca="false">IF($B96&lt;=A_Laufzeit,C96*D96,0)</f>
        <v>0</v>
      </c>
      <c r="F96" s="31" t="n">
        <f aca="false">IF($B96&lt;=A_Laufzeit,G96-E96,0)</f>
        <v>0</v>
      </c>
      <c r="G96" s="31" t="n">
        <f aca="false">IF($B96&lt;=A_Laufzeit,IF($B96&lt;=0,E96,$C$22),0)</f>
        <v>0</v>
      </c>
      <c r="H96" s="31" t="n">
        <f aca="false">MAX(0,C96-F96)</f>
        <v>0</v>
      </c>
      <c r="I96" s="31" t="n">
        <f aca="false">IF($B96&lt;=A_Laufzeit,C96*MAX(0,$C$17-D96),0)</f>
        <v>0</v>
      </c>
    </row>
    <row r="97" customFormat="false" ht="15" hidden="false" customHeight="false" outlineLevel="0" collapsed="false">
      <c r="B97" s="36" t="n">
        <v>33</v>
      </c>
      <c r="C97" s="31" t="n">
        <f aca="false">H96</f>
        <v>0</v>
      </c>
      <c r="D97" s="34" t="n">
        <f aca="false">IF($B97&lt;=A_Zinsbindung,$C$17,A_Zins_Anschluss)</f>
        <v>0.045</v>
      </c>
      <c r="E97" s="31" t="n">
        <f aca="false">IF($B97&lt;=A_Laufzeit,C97*D97,0)</f>
        <v>0</v>
      </c>
      <c r="F97" s="31" t="n">
        <f aca="false">IF($B97&lt;=A_Laufzeit,G97-E97,0)</f>
        <v>0</v>
      </c>
      <c r="G97" s="31" t="n">
        <f aca="false">IF($B97&lt;=A_Laufzeit,IF($B97&lt;=0,E97,$C$22),0)</f>
        <v>0</v>
      </c>
      <c r="H97" s="31" t="n">
        <f aca="false">MAX(0,C97-F97)</f>
        <v>0</v>
      </c>
      <c r="I97" s="31" t="n">
        <f aca="false">IF($B97&lt;=A_Laufzeit,C97*MAX(0,$C$17-D97),0)</f>
        <v>0</v>
      </c>
    </row>
    <row r="98" customFormat="false" ht="15" hidden="false" customHeight="false" outlineLevel="0" collapsed="false">
      <c r="B98" s="36" t="n">
        <v>34</v>
      </c>
      <c r="C98" s="31" t="n">
        <f aca="false">H97</f>
        <v>0</v>
      </c>
      <c r="D98" s="34" t="n">
        <f aca="false">IF($B98&lt;=A_Zinsbindung,$C$17,A_Zins_Anschluss)</f>
        <v>0.045</v>
      </c>
      <c r="E98" s="31" t="n">
        <f aca="false">IF($B98&lt;=A_Laufzeit,C98*D98,0)</f>
        <v>0</v>
      </c>
      <c r="F98" s="31" t="n">
        <f aca="false">IF($B98&lt;=A_Laufzeit,G98-E98,0)</f>
        <v>0</v>
      </c>
      <c r="G98" s="31" t="n">
        <f aca="false">IF($B98&lt;=A_Laufzeit,IF($B98&lt;=0,E98,$C$22),0)</f>
        <v>0</v>
      </c>
      <c r="H98" s="31" t="n">
        <f aca="false">MAX(0,C98-F98)</f>
        <v>0</v>
      </c>
      <c r="I98" s="31" t="n">
        <f aca="false">IF($B98&lt;=A_Laufzeit,C98*MAX(0,$C$17-D98),0)</f>
        <v>0</v>
      </c>
    </row>
    <row r="99" customFormat="false" ht="15" hidden="false" customHeight="false" outlineLevel="0" collapsed="false">
      <c r="B99" s="36" t="n">
        <v>35</v>
      </c>
      <c r="C99" s="31" t="n">
        <f aca="false">H98</f>
        <v>0</v>
      </c>
      <c r="D99" s="34" t="n">
        <f aca="false">IF($B99&lt;=A_Zinsbindung,$C$17,A_Zins_Anschluss)</f>
        <v>0.045</v>
      </c>
      <c r="E99" s="31" t="n">
        <f aca="false">IF($B99&lt;=A_Laufzeit,C99*D99,0)</f>
        <v>0</v>
      </c>
      <c r="F99" s="31" t="n">
        <f aca="false">IF($B99&lt;=A_Laufzeit,G99-E99,0)</f>
        <v>0</v>
      </c>
      <c r="G99" s="31" t="n">
        <f aca="false">IF($B99&lt;=A_Laufzeit,IF($B99&lt;=0,E99,$C$22),0)</f>
        <v>0</v>
      </c>
      <c r="H99" s="31" t="n">
        <f aca="false">MAX(0,C99-F99)</f>
        <v>0</v>
      </c>
      <c r="I99" s="31" t="n">
        <f aca="false">IF($B99&lt;=A_Laufzeit,C99*MAX(0,$C$17-D99),0)</f>
        <v>0</v>
      </c>
    </row>
    <row r="101" customFormat="false" ht="15" hidden="false" customHeight="false" outlineLevel="0" collapsed="false">
      <c r="B101" s="14" t="s">
        <v>684</v>
      </c>
      <c r="C101" s="14"/>
      <c r="D101" s="14"/>
      <c r="E101" s="14"/>
    </row>
    <row r="102" customFormat="false" ht="15" hidden="false" customHeight="false" outlineLevel="0" collapsed="false">
      <c r="B102" s="4" t="s">
        <v>685</v>
      </c>
      <c r="C102" s="31" t="n">
        <f aca="false">INDEX(H27:H61,A_Zinsbindung)</f>
        <v>93791.6522988098</v>
      </c>
      <c r="E102" s="7" t="s">
        <v>686</v>
      </c>
    </row>
    <row r="103" customFormat="false" ht="15" hidden="false" customHeight="false" outlineLevel="0" collapsed="false">
      <c r="B103" s="4" t="s">
        <v>687</v>
      </c>
      <c r="C103" s="31" t="n">
        <f aca="false">INDEX(H65:H99,A_Zinsbindung)</f>
        <v>180134.21610561</v>
      </c>
    </row>
    <row r="104" customFormat="false" ht="15" hidden="false" customHeight="false" outlineLevel="0" collapsed="false">
      <c r="B104" s="32" t="s">
        <v>688</v>
      </c>
      <c r="C104" s="33" t="n">
        <f aca="false">C102+C103</f>
        <v>273925.86840442</v>
      </c>
    </row>
    <row r="105" customFormat="false" ht="15" hidden="false" customHeight="false" outlineLevel="0" collapsed="false">
      <c r="B105" s="4" t="s">
        <v>689</v>
      </c>
      <c r="C105" s="31" t="n">
        <f aca="false">SUM(E27:E61)</f>
        <v>91970.1066167256</v>
      </c>
    </row>
    <row r="106" customFormat="false" ht="15" hidden="false" customHeight="false" outlineLevel="0" collapsed="false">
      <c r="B106" s="4" t="s">
        <v>690</v>
      </c>
      <c r="C106" s="31" t="n">
        <f aca="false">SUM(E65:E99)</f>
        <v>160716.234603468</v>
      </c>
    </row>
    <row r="107" customFormat="false" ht="15" hidden="false" customHeight="false" outlineLevel="0" collapsed="false">
      <c r="B107" s="32" t="s">
        <v>691</v>
      </c>
      <c r="C107" s="33" t="n">
        <f aca="false">C105+C106</f>
        <v>252686.341220193</v>
      </c>
    </row>
    <row r="108" customFormat="false" ht="15" hidden="false" customHeight="false" outlineLevel="0" collapsed="false">
      <c r="B108" s="32" t="s">
        <v>692</v>
      </c>
      <c r="C108" s="33" t="n">
        <f aca="false">SUM(I27:I61)+SUM(I65:I99)</f>
        <v>15563.3252873335</v>
      </c>
    </row>
    <row r="109" customFormat="false" ht="15" hidden="false" customHeight="false" outlineLevel="0" collapsed="false">
      <c r="B109" s="4" t="s">
        <v>693</v>
      </c>
      <c r="C109" s="34" t="n">
        <f aca="false">IF(C6=0,0,(C9*C10+C14*C17)/C6)</f>
        <v>0.0335119711829405</v>
      </c>
    </row>
    <row r="110" customFormat="false" ht="15" hidden="false" customHeight="false" outlineLevel="0" collapsed="false">
      <c r="B110" s="32" t="s">
        <v>694</v>
      </c>
      <c r="C110" s="33" t="n">
        <f aca="false">INDEX(H27:H61,A_Laufzeit)+INDEX(H65:H99,A_Laufzeit)</f>
        <v>37970.1066167256</v>
      </c>
      <c r="E110" s="37" t="s">
        <v>695</v>
      </c>
    </row>
  </sheetData>
  <mergeCells count="5">
    <mergeCell ref="B3:E3"/>
    <mergeCell ref="B20:E20"/>
    <mergeCell ref="B25:I25"/>
    <mergeCell ref="B63:I63"/>
    <mergeCell ref="B101:E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20"/>
    <col collapsed="false" customWidth="true" hidden="false" outlineLevel="0" max="7" min="7" style="0" width="16"/>
    <col collapsed="false" customWidth="true" hidden="false" outlineLevel="0" max="8" min="8" style="0" width="18"/>
  </cols>
  <sheetData>
    <row r="1" customFormat="false" ht="17.35" hidden="false" customHeight="false" outlineLevel="0" collapsed="false">
      <c r="B1" s="1" t="s">
        <v>696</v>
      </c>
    </row>
    <row r="3" customFormat="false" ht="15" hidden="false" customHeight="false" outlineLevel="0" collapsed="false">
      <c r="B3" s="14" t="s">
        <v>697</v>
      </c>
      <c r="C3" s="14"/>
      <c r="D3" s="14"/>
      <c r="E3" s="14"/>
    </row>
    <row r="4" customFormat="false" ht="15" hidden="false" customHeight="false" outlineLevel="0" collapsed="false">
      <c r="B4" s="4" t="s">
        <v>698</v>
      </c>
      <c r="C4" s="38" t="n">
        <f aca="false">10_Beispiel_Rahden!$C$27</f>
        <v>6</v>
      </c>
    </row>
    <row r="5" customFormat="false" ht="15" hidden="false" customHeight="false" outlineLevel="0" collapsed="false">
      <c r="B5" s="4" t="s">
        <v>699</v>
      </c>
      <c r="C5" s="13" t="n">
        <f aca="false">11_Beispiel_Rahden!$C$13</f>
        <v>306329.004661171</v>
      </c>
    </row>
    <row r="6" customFormat="false" ht="15" hidden="false" customHeight="false" outlineLevel="0" collapsed="false">
      <c r="B6" s="4" t="s">
        <v>700</v>
      </c>
      <c r="C6" s="13" t="n">
        <f aca="false">12_Beispiel_Rahden!$C$6</f>
        <v>376125.667292948</v>
      </c>
    </row>
    <row r="8" customFormat="false" ht="15" hidden="false" customHeight="false" outlineLevel="0" collapsed="false">
      <c r="B8" s="14" t="s">
        <v>701</v>
      </c>
      <c r="C8" s="14"/>
      <c r="D8" s="14"/>
      <c r="E8" s="14"/>
      <c r="F8" s="14"/>
      <c r="G8" s="14"/>
      <c r="H8" s="14"/>
    </row>
    <row r="9" customFormat="false" ht="35.05" hidden="false" customHeight="false" outlineLevel="0" collapsed="false">
      <c r="B9" s="11" t="s">
        <v>702</v>
      </c>
      <c r="C9" s="11" t="s">
        <v>703</v>
      </c>
      <c r="D9" s="11" t="s">
        <v>704</v>
      </c>
      <c r="E9" s="11" t="s">
        <v>705</v>
      </c>
      <c r="F9" s="11" t="s">
        <v>706</v>
      </c>
      <c r="G9" s="11" t="s">
        <v>707</v>
      </c>
      <c r="H9" s="11" t="s">
        <v>708</v>
      </c>
    </row>
    <row r="10" customFormat="false" ht="15" hidden="false" customHeight="false" outlineLevel="0" collapsed="false">
      <c r="B10" s="36" t="n">
        <v>1</v>
      </c>
      <c r="C10" s="39" t="n">
        <v>0.2</v>
      </c>
      <c r="D10" s="31" t="n">
        <f aca="false">C10*$C$5</f>
        <v>61265.8009322342</v>
      </c>
      <c r="E10" s="31" t="n">
        <f aca="false">D10</f>
        <v>61265.8009322342</v>
      </c>
      <c r="F10" s="31" t="n">
        <f aca="false">$C$6</f>
        <v>376125.667292948</v>
      </c>
      <c r="G10" s="31" t="n">
        <f aca="false">IF(B10&lt;=A_Bereit_frei,0,F10*A_Bereitstellung)</f>
        <v>0</v>
      </c>
      <c r="H10" s="40" t="n">
        <v>0</v>
      </c>
    </row>
    <row r="11" customFormat="false" ht="15" hidden="false" customHeight="false" outlineLevel="0" collapsed="false">
      <c r="B11" s="36" t="n">
        <v>2</v>
      </c>
      <c r="C11" s="39" t="n">
        <v>0.15</v>
      </c>
      <c r="D11" s="31" t="n">
        <f aca="false">C11*$C$5</f>
        <v>45949.3506991757</v>
      </c>
      <c r="E11" s="31" t="n">
        <f aca="false">E10+D11</f>
        <v>107215.15163141</v>
      </c>
      <c r="F11" s="31" t="n">
        <f aca="false">MAX(0,$C$6-E10)</f>
        <v>314859.866360714</v>
      </c>
      <c r="G11" s="31" t="n">
        <f aca="false">IF(B11&lt;=A_Bereit_frei,0,F11*A_Bereitstellung)</f>
        <v>0</v>
      </c>
      <c r="H11" s="40" t="n">
        <v>0</v>
      </c>
    </row>
    <row r="12" customFormat="false" ht="15" hidden="false" customHeight="false" outlineLevel="0" collapsed="false">
      <c r="B12" s="36" t="n">
        <v>3</v>
      </c>
      <c r="C12" s="39" t="n">
        <v>0.15</v>
      </c>
      <c r="D12" s="31" t="n">
        <f aca="false">C12*$C$5</f>
        <v>45949.3506991757</v>
      </c>
      <c r="E12" s="31" t="n">
        <f aca="false">E11+D12</f>
        <v>153164.502330586</v>
      </c>
      <c r="F12" s="31" t="n">
        <f aca="false">MAX(0,$C$6-E11)</f>
        <v>268910.515661538</v>
      </c>
      <c r="G12" s="31" t="n">
        <f aca="false">IF(B12&lt;=A_Bereit_frei,0,F12*A_Bereitstellung)</f>
        <v>0</v>
      </c>
      <c r="H12" s="40" t="n">
        <v>0</v>
      </c>
    </row>
    <row r="13" customFormat="false" ht="15" hidden="false" customHeight="false" outlineLevel="0" collapsed="false">
      <c r="B13" s="36" t="n">
        <v>4</v>
      </c>
      <c r="C13" s="39" t="n">
        <v>0.15</v>
      </c>
      <c r="D13" s="31" t="n">
        <f aca="false">C13*$C$5</f>
        <v>45949.3506991757</v>
      </c>
      <c r="E13" s="31" t="n">
        <f aca="false">E12+D13</f>
        <v>199113.853029761</v>
      </c>
      <c r="F13" s="31" t="n">
        <f aca="false">MAX(0,$C$6-E12)</f>
        <v>222961.164962362</v>
      </c>
      <c r="G13" s="31" t="n">
        <f aca="false">IF(B13&lt;=A_Bereit_frei,0,F13*A_Bereitstellung)</f>
        <v>0</v>
      </c>
      <c r="H13" s="40" t="n">
        <v>0</v>
      </c>
    </row>
    <row r="14" customFormat="false" ht="15" hidden="false" customHeight="false" outlineLevel="0" collapsed="false">
      <c r="B14" s="36" t="n">
        <v>5</v>
      </c>
      <c r="C14" s="39" t="n">
        <v>0.15</v>
      </c>
      <c r="D14" s="31" t="n">
        <f aca="false">C14*$C$5</f>
        <v>45949.3506991757</v>
      </c>
      <c r="E14" s="31" t="n">
        <f aca="false">E13+D14</f>
        <v>245063.203728937</v>
      </c>
      <c r="F14" s="31" t="n">
        <f aca="false">MAX(0,$C$6-E13)</f>
        <v>177011.814263187</v>
      </c>
      <c r="G14" s="31" t="n">
        <f aca="false">IF(B14&lt;=A_Bereit_frei,0,F14*A_Bereitstellung)</f>
        <v>0</v>
      </c>
      <c r="H14" s="40" t="n">
        <v>0</v>
      </c>
    </row>
    <row r="15" customFormat="false" ht="15" hidden="false" customHeight="false" outlineLevel="0" collapsed="false">
      <c r="B15" s="36" t="n">
        <v>6</v>
      </c>
      <c r="C15" s="39" t="n">
        <v>0.2</v>
      </c>
      <c r="D15" s="31" t="n">
        <f aca="false">C15*$C$5</f>
        <v>61265.8009322342</v>
      </c>
      <c r="E15" s="31" t="n">
        <f aca="false">E14+D15</f>
        <v>306329.004661171</v>
      </c>
      <c r="F15" s="31" t="n">
        <f aca="false">MAX(0,$C$6-E14)</f>
        <v>131062.463564011</v>
      </c>
      <c r="G15" s="31" t="n">
        <f aca="false">IF(B15&lt;=A_Bereit_frei,0,F15*A_Bereitstellung)</f>
        <v>0</v>
      </c>
      <c r="H15" s="40" t="n">
        <v>0</v>
      </c>
    </row>
    <row r="16" customFormat="false" ht="15" hidden="false" customHeight="false" outlineLevel="0" collapsed="false">
      <c r="B16" s="36" t="n">
        <v>7</v>
      </c>
      <c r="C16" s="39" t="n">
        <v>0</v>
      </c>
      <c r="D16" s="31" t="n">
        <f aca="false">C16*$C$5</f>
        <v>0</v>
      </c>
      <c r="E16" s="31" t="n">
        <f aca="false">E15+D16</f>
        <v>306329.004661171</v>
      </c>
      <c r="F16" s="31" t="n">
        <f aca="false">MAX(0,$C$6-E15)</f>
        <v>69796.6626317769</v>
      </c>
      <c r="G16" s="31" t="n">
        <f aca="false">IF(B16&lt;=A_Bereit_frei,0,F16*A_Bereitstellung)</f>
        <v>174.491656579442</v>
      </c>
      <c r="H16" s="40" t="n">
        <v>0</v>
      </c>
    </row>
    <row r="17" customFormat="false" ht="15" hidden="false" customHeight="false" outlineLevel="0" collapsed="false">
      <c r="B17" s="36" t="n">
        <v>8</v>
      </c>
      <c r="C17" s="39" t="n">
        <v>0</v>
      </c>
      <c r="D17" s="31" t="n">
        <f aca="false">C17*$C$5</f>
        <v>0</v>
      </c>
      <c r="E17" s="31" t="n">
        <f aca="false">E16+D17</f>
        <v>306329.004661171</v>
      </c>
      <c r="F17" s="31" t="n">
        <f aca="false">MAX(0,$C$6-E16)</f>
        <v>69796.6626317769</v>
      </c>
      <c r="G17" s="31" t="n">
        <f aca="false">IF(B17&lt;=A_Bereit_frei,0,F17*A_Bereitstellung)</f>
        <v>174.491656579442</v>
      </c>
      <c r="H17" s="40" t="n">
        <v>0</v>
      </c>
    </row>
    <row r="18" customFormat="false" ht="15" hidden="false" customHeight="false" outlineLevel="0" collapsed="false">
      <c r="B18" s="36" t="n">
        <v>9</v>
      </c>
      <c r="C18" s="39" t="n">
        <v>0</v>
      </c>
      <c r="D18" s="31" t="n">
        <f aca="false">C18*$C$5</f>
        <v>0</v>
      </c>
      <c r="E18" s="31" t="n">
        <f aca="false">E17+D18</f>
        <v>306329.004661171</v>
      </c>
      <c r="F18" s="31" t="n">
        <f aca="false">MAX(0,$C$6-E17)</f>
        <v>69796.6626317769</v>
      </c>
      <c r="G18" s="31" t="n">
        <f aca="false">IF(B18&lt;=A_Bereit_frei,0,F18*A_Bereitstellung)</f>
        <v>174.491656579442</v>
      </c>
      <c r="H18" s="40" t="n">
        <v>0</v>
      </c>
    </row>
    <row r="19" customFormat="false" ht="15" hidden="false" customHeight="false" outlineLevel="0" collapsed="false">
      <c r="B19" s="36" t="n">
        <v>10</v>
      </c>
      <c r="C19" s="39" t="n">
        <v>0</v>
      </c>
      <c r="D19" s="31" t="n">
        <f aca="false">C19*$C$5</f>
        <v>0</v>
      </c>
      <c r="E19" s="31" t="n">
        <f aca="false">E18+D19</f>
        <v>306329.004661171</v>
      </c>
      <c r="F19" s="31" t="n">
        <f aca="false">MAX(0,$C$6-E18)</f>
        <v>69796.6626317769</v>
      </c>
      <c r="G19" s="31" t="n">
        <f aca="false">IF(B19&lt;=A_Bereit_frei,0,F19*A_Bereitstellung)</f>
        <v>174.491656579442</v>
      </c>
      <c r="H19" s="40" t="n">
        <v>0</v>
      </c>
    </row>
    <row r="20" customFormat="false" ht="15" hidden="false" customHeight="false" outlineLevel="0" collapsed="false">
      <c r="B20" s="36" t="n">
        <v>11</v>
      </c>
      <c r="C20" s="39" t="n">
        <v>0</v>
      </c>
      <c r="D20" s="31" t="n">
        <f aca="false">C20*$C$5</f>
        <v>0</v>
      </c>
      <c r="E20" s="31" t="n">
        <f aca="false">E19+D20</f>
        <v>306329.004661171</v>
      </c>
      <c r="F20" s="31" t="n">
        <f aca="false">MAX(0,$C$6-E19)</f>
        <v>69796.6626317769</v>
      </c>
      <c r="G20" s="31" t="n">
        <f aca="false">IF(B20&lt;=A_Bereit_frei,0,F20*A_Bereitstellung)</f>
        <v>174.491656579442</v>
      </c>
      <c r="H20" s="40" t="n">
        <v>0</v>
      </c>
    </row>
    <row r="21" customFormat="false" ht="15" hidden="false" customHeight="false" outlineLevel="0" collapsed="false">
      <c r="B21" s="36" t="n">
        <v>12</v>
      </c>
      <c r="C21" s="39" t="n">
        <v>0</v>
      </c>
      <c r="D21" s="31" t="n">
        <f aca="false">C21*$C$5</f>
        <v>0</v>
      </c>
      <c r="E21" s="31" t="n">
        <f aca="false">E20+D21</f>
        <v>306329.004661171</v>
      </c>
      <c r="F21" s="31" t="n">
        <f aca="false">MAX(0,$C$6-E20)</f>
        <v>69796.6626317769</v>
      </c>
      <c r="G21" s="31" t="n">
        <f aca="false">IF(B21&lt;=A_Bereit_frei,0,F21*A_Bereitstellung)</f>
        <v>174.491656579442</v>
      </c>
      <c r="H21" s="40" t="n">
        <v>0</v>
      </c>
    </row>
    <row r="22" customFormat="false" ht="15" hidden="false" customHeight="false" outlineLevel="0" collapsed="false">
      <c r="B22" s="32" t="s">
        <v>709</v>
      </c>
      <c r="C22" s="41" t="n">
        <f aca="false">SUM(C10:C21)</f>
        <v>1</v>
      </c>
      <c r="D22" s="42" t="n">
        <f aca="false">SUM(D10:D21)</f>
        <v>306329.004661171</v>
      </c>
      <c r="G22" s="42" t="n">
        <f aca="false">SUM(G10:G21)</f>
        <v>1046.94993947665</v>
      </c>
    </row>
    <row r="23" customFormat="false" ht="15" hidden="false" customHeight="false" outlineLevel="0" collapsed="false">
      <c r="B23" s="37" t="str">
        <f aca="false">IF(ABS(C22-1)&gt;0.001,"WARNUNG: Anteile summieren nicht auf 100%","")</f>
        <v/>
      </c>
    </row>
    <row r="25" customFormat="false" ht="15" hidden="false" customHeight="false" outlineLevel="0" collapsed="false">
      <c r="B25" s="14" t="s">
        <v>710</v>
      </c>
      <c r="C25" s="14"/>
      <c r="D25" s="14"/>
      <c r="E25" s="14"/>
    </row>
    <row r="26" customFormat="false" ht="15" hidden="false" customHeight="false" outlineLevel="0" collapsed="false">
      <c r="B26" s="4" t="s">
        <v>711</v>
      </c>
      <c r="C26" s="31" t="n">
        <f aca="false">IF(10_Beispiel_Rahden!$C$28="Ja",10_Beispiel_Rahden!$C$29*10_Beispiel_Rahden!$C$27,0)</f>
        <v>5400</v>
      </c>
    </row>
    <row r="27" customFormat="false" ht="15" hidden="false" customHeight="false" outlineLevel="0" collapsed="false">
      <c r="B27" s="4" t="s">
        <v>712</v>
      </c>
      <c r="C27" s="31" t="n">
        <f aca="false">G22</f>
        <v>1046.94993947665</v>
      </c>
    </row>
    <row r="28" customFormat="false" ht="15" hidden="false" customHeight="false" outlineLevel="0" collapsed="false">
      <c r="B28" s="32" t="s">
        <v>713</v>
      </c>
      <c r="C28" s="33" t="n">
        <f aca="false">C26+C27</f>
        <v>6446.94993947665</v>
      </c>
      <c r="E28" s="7" t="s">
        <v>714</v>
      </c>
    </row>
    <row r="30" customFormat="false" ht="15" hidden="false" customHeight="false" outlineLevel="0" collapsed="false">
      <c r="B30" s="14" t="s">
        <v>715</v>
      </c>
      <c r="C30" s="14"/>
      <c r="D30" s="14"/>
      <c r="E30" s="14"/>
    </row>
    <row r="31" customFormat="false" ht="15" hidden="false" customHeight="false" outlineLevel="0" collapsed="false">
      <c r="B31" s="4" t="s">
        <v>716</v>
      </c>
      <c r="C31" s="36" t="n">
        <f aca="false">MAX(H10:H21)</f>
        <v>0</v>
      </c>
    </row>
    <row r="32" customFormat="false" ht="15" hidden="false" customHeight="false" outlineLevel="0" collapsed="false">
      <c r="B32" s="4" t="s">
        <v>717</v>
      </c>
      <c r="C32" s="4" t="str">
        <f aca="false">IF(C31&gt;60,"Terminrisiko: über 60h Eigenleistung in einem Monat geplant - realistisch neben Beruf pruefen?","unauffällig")</f>
        <v>unauffällig</v>
      </c>
    </row>
  </sheetData>
  <mergeCells count="4">
    <mergeCell ref="B3:E3"/>
    <mergeCell ref="B8:H8"/>
    <mergeCell ref="B25:E25"/>
    <mergeCell ref="B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4" min="3" style="0" width="18"/>
    <col collapsed="false" customWidth="true" hidden="false" outlineLevel="0" max="6" min="5" style="0" width="16"/>
  </cols>
  <sheetData>
    <row r="1" customFormat="false" ht="17.35" hidden="false" customHeight="false" outlineLevel="0" collapsed="false">
      <c r="B1" s="1" t="s">
        <v>718</v>
      </c>
    </row>
    <row r="3" customFormat="false" ht="15" hidden="false" customHeight="false" outlineLevel="0" collapsed="false">
      <c r="B3" s="14" t="s">
        <v>719</v>
      </c>
      <c r="C3" s="14"/>
      <c r="D3" s="14"/>
      <c r="E3" s="14"/>
    </row>
    <row r="4" customFormat="false" ht="15" hidden="false" customHeight="false" outlineLevel="0" collapsed="false">
      <c r="B4" s="4" t="s">
        <v>720</v>
      </c>
      <c r="C4" s="43" t="n">
        <f aca="false">IF(10_Beispiel_Rahden!$C$18="Gasheizung",A_P_Gas,IF(10_Beispiel_Rahden!$C$18="Ölheizung",A_P_Oel,IF(10_Beispiel_Rahden!$C$18="Nachtspeicher",A_P_Strom,IF(10_Beispiel_Rahden!$C$18="Fernwärme",A_P_Fernwaerme,IF(10_Beispiel_Rahden!$C$18="Wärmepumpe",A_P_WPStrom,A_P_Gas)))))</f>
        <v>0.139</v>
      </c>
      <c r="D4" s="7" t="s">
        <v>145</v>
      </c>
    </row>
    <row r="5" customFormat="false" ht="15" hidden="false" customHeight="false" outlineLevel="0" collapsed="false">
      <c r="B5" s="4" t="s">
        <v>721</v>
      </c>
      <c r="C5" s="36" t="n">
        <f aca="false">IF(10_Beispiel_Rahden!$C$18="Gasheizung",A_CO2_Gas,IF(10_Beispiel_Rahden!$C$18="Ölheizung",A_CO2_Oel,IF(10_Beispiel_Rahden!$C$18="Nachtspeicher",A_CO2_Strom,IF(10_Beispiel_Rahden!$C$18="Fernwärme",A_CO2_Fernwaerme,IF(10_Beispiel_Rahden!$C$18="Wärmepumpe",A_CO2_Strom,A_CO2_Gas)))))</f>
        <v>266</v>
      </c>
      <c r="D5" s="7" t="s">
        <v>185</v>
      </c>
    </row>
    <row r="7" customFormat="false" ht="15" hidden="false" customHeight="false" outlineLevel="0" collapsed="false">
      <c r="B7" s="14" t="s">
        <v>722</v>
      </c>
      <c r="C7" s="14"/>
      <c r="D7" s="14"/>
      <c r="E7" s="14"/>
    </row>
    <row r="8" customFormat="false" ht="15" hidden="false" customHeight="false" outlineLevel="0" collapsed="false">
      <c r="B8" s="4" t="s">
        <v>723</v>
      </c>
      <c r="C8" s="36" t="n">
        <f aca="false">IF(10_Beispiel_Rahden!$C$17&gt;0,10_Beispiel_Rahden!$C$17,LOOKUP(10_Beispiel_Rahden!$C$7,05_Energiekennwerte!$B$5:$B$9,05_Energiekennwerte!$D$5:$D$9))</f>
        <v>210</v>
      </c>
      <c r="D8" s="7" t="s">
        <v>517</v>
      </c>
    </row>
    <row r="9" customFormat="false" ht="15" hidden="false" customHeight="false" outlineLevel="0" collapsed="false">
      <c r="B9" s="4" t="s">
        <v>724</v>
      </c>
      <c r="C9" s="44" t="n">
        <f aca="false">C8*10_Beispiel_Rahden!$C$9</f>
        <v>25620</v>
      </c>
      <c r="D9" s="7" t="s">
        <v>179</v>
      </c>
    </row>
    <row r="10" customFormat="false" ht="15" hidden="false" customHeight="false" outlineLevel="0" collapsed="false">
      <c r="B10" s="32" t="s">
        <v>725</v>
      </c>
      <c r="C10" s="33" t="n">
        <f aca="false">C9*C4</f>
        <v>3561.18</v>
      </c>
    </row>
    <row r="12" customFormat="false" ht="15" hidden="false" customHeight="false" outlineLevel="0" collapsed="false">
      <c r="B12" s="14" t="s">
        <v>726</v>
      </c>
      <c r="C12" s="14"/>
      <c r="D12" s="14"/>
      <c r="E12" s="14"/>
    </row>
    <row r="13" customFormat="false" ht="15" hidden="false" customHeight="false" outlineLevel="0" collapsed="false">
      <c r="B13" s="4" t="s">
        <v>727</v>
      </c>
      <c r="C13" s="36" t="n">
        <f aca="false">INDEX(05_Energiekennwerte!$C$13:$C$15,MATCH(10_Beispiel_Rahden!$C$21,05_Energiekennwerte!$B$13:$B$15,0))</f>
        <v>40</v>
      </c>
      <c r="D13" s="7" t="s">
        <v>517</v>
      </c>
    </row>
    <row r="14" customFormat="false" ht="15" hidden="false" customHeight="false" outlineLevel="0" collapsed="false">
      <c r="B14" s="4" t="s">
        <v>728</v>
      </c>
      <c r="C14" s="44" t="n">
        <f aca="false">C13*10_Beispiel_Rahden!$C$9</f>
        <v>4880</v>
      </c>
      <c r="D14" s="7" t="s">
        <v>179</v>
      </c>
    </row>
    <row r="15" customFormat="false" ht="15" hidden="false" customHeight="false" outlineLevel="0" collapsed="false">
      <c r="B15" s="4" t="s">
        <v>729</v>
      </c>
      <c r="C15" s="44" t="n">
        <f aca="false">10_Beispiel_Rahden!$C$47*A_WW_Person</f>
        <v>3000</v>
      </c>
      <c r="D15" s="7" t="s">
        <v>179</v>
      </c>
    </row>
    <row r="16" customFormat="false" ht="15" hidden="false" customHeight="false" outlineLevel="0" collapsed="false">
      <c r="B16" s="4" t="s">
        <v>730</v>
      </c>
      <c r="C16" s="44" t="n">
        <f aca="false">C14+C15</f>
        <v>7880</v>
      </c>
      <c r="D16" s="7" t="s">
        <v>179</v>
      </c>
    </row>
    <row r="17" customFormat="false" ht="15" hidden="false" customHeight="false" outlineLevel="0" collapsed="false">
      <c r="B17" s="4" t="s">
        <v>731</v>
      </c>
      <c r="C17" s="23" t="n">
        <f aca="false">IF(10_Beispiel_Rahden!$S$65="JA",A_JAZ_FBH,IF(10_Beispiel_Rahden!$S$66="JA",A_JAZ_HK45,A_JAZ_HK55))</f>
        <v>4.5</v>
      </c>
      <c r="D17" s="7" t="s">
        <v>173</v>
      </c>
    </row>
    <row r="18" customFormat="false" ht="15" hidden="false" customHeight="false" outlineLevel="0" collapsed="false">
      <c r="B18" s="4" t="s">
        <v>732</v>
      </c>
      <c r="C18" s="44" t="n">
        <f aca="false">C16/C17</f>
        <v>1751.11111111111</v>
      </c>
      <c r="D18" s="7" t="s">
        <v>179</v>
      </c>
    </row>
    <row r="19" customFormat="false" ht="15" hidden="false" customHeight="false" outlineLevel="0" collapsed="false">
      <c r="B19" s="4" t="s">
        <v>733</v>
      </c>
      <c r="C19" s="44" t="n">
        <f aca="false">10_Beispiel_Rahden!$C$47*A_HH_Strom_Person</f>
        <v>3900</v>
      </c>
      <c r="D19" s="7" t="s">
        <v>179</v>
      </c>
    </row>
    <row r="20" customFormat="false" ht="15" hidden="false" customHeight="false" outlineLevel="0" collapsed="false">
      <c r="B20" s="4" t="s">
        <v>734</v>
      </c>
      <c r="C20" s="44" t="n">
        <f aca="false">C18+C19</f>
        <v>5651.11111111111</v>
      </c>
      <c r="D20" s="7" t="s">
        <v>179</v>
      </c>
    </row>
    <row r="22" customFormat="false" ht="15" hidden="false" customHeight="false" outlineLevel="0" collapsed="false">
      <c r="B22" s="14" t="s">
        <v>735</v>
      </c>
      <c r="C22" s="14"/>
      <c r="D22" s="14"/>
      <c r="E22" s="14"/>
    </row>
    <row r="23" customFormat="false" ht="15" hidden="false" customHeight="false" outlineLevel="0" collapsed="false">
      <c r="B23" s="4" t="s">
        <v>736</v>
      </c>
      <c r="C23" s="44" t="n">
        <f aca="false">10_Beispiel_Rahden!$C$45*A_PV_Ertrag*IF(10_Beispiel_Rahden!$C$31="Ost-West",A_PV_OW,1)</f>
        <v>13697.2727272727</v>
      </c>
      <c r="D23" s="7" t="s">
        <v>179</v>
      </c>
    </row>
    <row r="24" customFormat="false" ht="15" hidden="false" customHeight="false" outlineLevel="0" collapsed="false">
      <c r="B24" s="4" t="s">
        <v>737</v>
      </c>
      <c r="C24" s="44" t="n">
        <f aca="false">MIN(C23*A_PV_EV,C20)</f>
        <v>5651.11111111111</v>
      </c>
      <c r="D24" s="7" t="s">
        <v>179</v>
      </c>
    </row>
    <row r="25" customFormat="false" ht="15" hidden="false" customHeight="false" outlineLevel="0" collapsed="false">
      <c r="B25" s="4" t="s">
        <v>738</v>
      </c>
      <c r="C25" s="44" t="n">
        <f aca="false">C23-C24</f>
        <v>8046.16161616162</v>
      </c>
      <c r="D25" s="7" t="s">
        <v>179</v>
      </c>
    </row>
    <row r="26" customFormat="false" ht="15" hidden="false" customHeight="false" outlineLevel="0" collapsed="false">
      <c r="B26" s="4" t="s">
        <v>739</v>
      </c>
      <c r="C26" s="44" t="n">
        <f aca="false">C20-C24</f>
        <v>0</v>
      </c>
      <c r="D26" s="7" t="s">
        <v>179</v>
      </c>
    </row>
    <row r="28" customFormat="false" ht="15" hidden="false" customHeight="false" outlineLevel="0" collapsed="false">
      <c r="B28" s="14" t="s">
        <v>740</v>
      </c>
      <c r="C28" s="14"/>
      <c r="D28" s="14"/>
      <c r="E28" s="14"/>
    </row>
    <row r="29" customFormat="false" ht="15" hidden="false" customHeight="false" outlineLevel="0" collapsed="false">
      <c r="B29" s="32" t="s">
        <v>741</v>
      </c>
      <c r="C29" s="33" t="n">
        <f aca="false">C26*A_P_WPStrom-C25*A_P_Einspeisung</f>
        <v>-619.554444444445</v>
      </c>
    </row>
    <row r="30" customFormat="false" ht="15" hidden="false" customHeight="false" outlineLevel="0" collapsed="false">
      <c r="B30" s="32" t="s">
        <v>742</v>
      </c>
      <c r="C30" s="33" t="n">
        <f aca="false">C10-C29</f>
        <v>4180.73444444444</v>
      </c>
    </row>
    <row r="32" customFormat="false" ht="15" hidden="false" customHeight="false" outlineLevel="0" collapsed="false">
      <c r="B32" s="14" t="s">
        <v>743</v>
      </c>
      <c r="C32" s="14"/>
      <c r="D32" s="14"/>
      <c r="E32" s="14"/>
      <c r="F32" s="14"/>
    </row>
    <row r="33" customFormat="false" ht="23.85" hidden="false" customHeight="false" outlineLevel="0" collapsed="false">
      <c r="B33" s="11" t="s">
        <v>51</v>
      </c>
      <c r="C33" s="11" t="s">
        <v>744</v>
      </c>
      <c r="D33" s="11" t="s">
        <v>745</v>
      </c>
      <c r="E33" s="11" t="s">
        <v>746</v>
      </c>
      <c r="F33" s="11" t="s">
        <v>747</v>
      </c>
    </row>
    <row r="34" customFormat="false" ht="15" hidden="false" customHeight="false" outlineLevel="0" collapsed="false">
      <c r="B34" s="36" t="n">
        <v>1</v>
      </c>
      <c r="C34" s="31" t="n">
        <f aca="false">$C$10*(1+A_Energiepreis)^(B34-1)</f>
        <v>3561.18</v>
      </c>
      <c r="D34" s="31" t="n">
        <f aca="false">$C$29*(1+A_Energiepreis)^(B34-1)</f>
        <v>-619.554444444445</v>
      </c>
      <c r="E34" s="31" t="n">
        <f aca="false">C34-D34</f>
        <v>4180.73444444444</v>
      </c>
      <c r="F34" s="31" t="n">
        <f aca="false">E34/(1+A_Diskont)^B34</f>
        <v>4019.93696581197</v>
      </c>
    </row>
    <row r="35" customFormat="false" ht="15" hidden="false" customHeight="false" outlineLevel="0" collapsed="false">
      <c r="B35" s="36" t="n">
        <v>2</v>
      </c>
      <c r="C35" s="31" t="n">
        <f aca="false">$C$10*(1+A_Energiepreis)^(B35-1)</f>
        <v>3668.0154</v>
      </c>
      <c r="D35" s="31" t="n">
        <f aca="false">$C$29*(1+A_Energiepreis)^(B35-1)</f>
        <v>-638.141077777778</v>
      </c>
      <c r="E35" s="31" t="n">
        <f aca="false">C35-D35</f>
        <v>4306.15647777778</v>
      </c>
      <c r="F35" s="31" t="n">
        <f aca="false">E35/(1+A_Diskont)^B35</f>
        <v>3981.28372575608</v>
      </c>
    </row>
    <row r="36" customFormat="false" ht="15" hidden="false" customHeight="false" outlineLevel="0" collapsed="false">
      <c r="B36" s="36" t="n">
        <v>3</v>
      </c>
      <c r="C36" s="31" t="n">
        <f aca="false">$C$10*(1+A_Energiepreis)^(B36-1)</f>
        <v>3778.055862</v>
      </c>
      <c r="D36" s="31" t="n">
        <f aca="false">$C$29*(1+A_Energiepreis)^(B36-1)</f>
        <v>-657.285310111111</v>
      </c>
      <c r="E36" s="31" t="n">
        <f aca="false">C36-D36</f>
        <v>4435.34117211111</v>
      </c>
      <c r="F36" s="31" t="n">
        <f aca="false">E36/(1+A_Diskont)^B36</f>
        <v>3943.00215146997</v>
      </c>
    </row>
    <row r="37" customFormat="false" ht="15" hidden="false" customHeight="false" outlineLevel="0" collapsed="false">
      <c r="B37" s="36" t="n">
        <v>4</v>
      </c>
      <c r="C37" s="31" t="n">
        <f aca="false">$C$10*(1+A_Energiepreis)^(B37-1)</f>
        <v>3891.39753786</v>
      </c>
      <c r="D37" s="31" t="n">
        <f aca="false">$C$29*(1+A_Energiepreis)^(B37-1)</f>
        <v>-677.003869414445</v>
      </c>
      <c r="E37" s="31" t="n">
        <f aca="false">C37-D37</f>
        <v>4568.40140727445</v>
      </c>
      <c r="F37" s="31" t="n">
        <f aca="false">E37/(1+A_Diskont)^B37</f>
        <v>3905.08866924429</v>
      </c>
    </row>
    <row r="38" customFormat="false" ht="15" hidden="false" customHeight="false" outlineLevel="0" collapsed="false">
      <c r="B38" s="36" t="n">
        <v>5</v>
      </c>
      <c r="C38" s="31" t="n">
        <f aca="false">$C$10*(1+A_Energiepreis)^(B38-1)</f>
        <v>4008.1394639958</v>
      </c>
      <c r="D38" s="31" t="n">
        <f aca="false">$C$29*(1+A_Energiepreis)^(B38-1)</f>
        <v>-697.313985496878</v>
      </c>
      <c r="E38" s="31" t="n">
        <f aca="false">C38-D38</f>
        <v>4705.45344949268</v>
      </c>
      <c r="F38" s="31" t="n">
        <f aca="false">E38/(1+A_Diskont)^B38</f>
        <v>3867.53973973233</v>
      </c>
    </row>
    <row r="39" customFormat="false" ht="15" hidden="false" customHeight="false" outlineLevel="0" collapsed="false">
      <c r="B39" s="36" t="n">
        <v>6</v>
      </c>
      <c r="C39" s="31" t="n">
        <f aca="false">$C$10*(1+A_Energiepreis)^(B39-1)</f>
        <v>4128.38364791567</v>
      </c>
      <c r="D39" s="31" t="n">
        <f aca="false">$C$29*(1+A_Energiepreis)^(B39-1)</f>
        <v>-718.233405061784</v>
      </c>
      <c r="E39" s="31" t="n">
        <f aca="false">C39-D39</f>
        <v>4846.61705297746</v>
      </c>
      <c r="F39" s="31" t="n">
        <f aca="false">E39/(1+A_Diskont)^B39</f>
        <v>3830.35185761952</v>
      </c>
    </row>
    <row r="40" customFormat="false" ht="15" hidden="false" customHeight="false" outlineLevel="0" collapsed="false">
      <c r="B40" s="36" t="n">
        <v>7</v>
      </c>
      <c r="C40" s="31" t="n">
        <f aca="false">$C$10*(1+A_Energiepreis)^(B40-1)</f>
        <v>4252.23515735315</v>
      </c>
      <c r="D40" s="31" t="n">
        <f aca="false">$C$29*(1+A_Energiepreis)^(B40-1)</f>
        <v>-739.780407213638</v>
      </c>
      <c r="E40" s="31" t="n">
        <f aca="false">C40-D40</f>
        <v>4992.01556456678</v>
      </c>
      <c r="F40" s="31" t="n">
        <f aca="false">E40/(1+A_Diskont)^B40</f>
        <v>3793.52155129625</v>
      </c>
    </row>
    <row r="41" customFormat="false" ht="15" hidden="false" customHeight="false" outlineLevel="0" collapsed="false">
      <c r="B41" s="36" t="n">
        <v>8</v>
      </c>
      <c r="C41" s="31" t="n">
        <f aca="false">$C$10*(1+A_Energiepreis)^(B41-1)</f>
        <v>4379.80221207374</v>
      </c>
      <c r="D41" s="31" t="n">
        <f aca="false">$C$29*(1+A_Energiepreis)^(B41-1)</f>
        <v>-761.973819430047</v>
      </c>
      <c r="E41" s="31" t="n">
        <f aca="false">C41-D41</f>
        <v>5141.77603150379</v>
      </c>
      <c r="F41" s="31" t="n">
        <f aca="false">E41/(1+A_Diskont)^B41</f>
        <v>3757.04538253379</v>
      </c>
    </row>
    <row r="42" customFormat="false" ht="15" hidden="false" customHeight="false" outlineLevel="0" collapsed="false">
      <c r="B42" s="36" t="n">
        <v>9</v>
      </c>
      <c r="C42" s="31" t="n">
        <f aca="false">$C$10*(1+A_Energiepreis)^(B42-1)</f>
        <v>4511.19627843595</v>
      </c>
      <c r="D42" s="31" t="n">
        <f aca="false">$C$29*(1+A_Energiepreis)^(B42-1)</f>
        <v>-784.833034012948</v>
      </c>
      <c r="E42" s="31" t="n">
        <f aca="false">C42-D42</f>
        <v>5296.0293124489</v>
      </c>
      <c r="F42" s="31" t="n">
        <f aca="false">E42/(1+A_Diskont)^B42</f>
        <v>3720.91994616327</v>
      </c>
    </row>
    <row r="43" customFormat="false" ht="15" hidden="false" customHeight="false" outlineLevel="0" collapsed="false">
      <c r="B43" s="36" t="n">
        <v>10</v>
      </c>
      <c r="C43" s="31" t="n">
        <f aca="false">$C$10*(1+A_Energiepreis)^(B43-1)</f>
        <v>4646.53216678903</v>
      </c>
      <c r="D43" s="31" t="n">
        <f aca="false">$C$29*(1+A_Energiepreis)^(B43-1)</f>
        <v>-808.378025033337</v>
      </c>
      <c r="E43" s="31" t="n">
        <f aca="false">C43-D43</f>
        <v>5454.91019182237</v>
      </c>
      <c r="F43" s="31" t="n">
        <f aca="false">E43/(1+A_Diskont)^B43</f>
        <v>3685.14186975786</v>
      </c>
    </row>
    <row r="44" customFormat="false" ht="15" hidden="false" customHeight="false" outlineLevel="0" collapsed="false">
      <c r="B44" s="36" t="n">
        <v>11</v>
      </c>
      <c r="C44" s="31" t="n">
        <f aca="false">$C$10*(1+A_Energiepreis)^(B44-1)</f>
        <v>4785.9281317927</v>
      </c>
      <c r="D44" s="31" t="n">
        <f aca="false">$C$29*(1+A_Energiepreis)^(B44-1)</f>
        <v>-832.629365784337</v>
      </c>
      <c r="E44" s="31" t="n">
        <f aca="false">C44-D44</f>
        <v>5618.55749757704</v>
      </c>
      <c r="F44" s="31" t="n">
        <f aca="false">E44/(1+A_Diskont)^B44</f>
        <v>3649.70781331788</v>
      </c>
    </row>
    <row r="45" customFormat="false" ht="15" hidden="false" customHeight="false" outlineLevel="0" collapsed="false">
      <c r="B45" s="36" t="n">
        <v>12</v>
      </c>
      <c r="C45" s="31" t="n">
        <f aca="false">$C$10*(1+A_Energiepreis)^(B45-1)</f>
        <v>4929.50597574648</v>
      </c>
      <c r="D45" s="31" t="n">
        <f aca="false">$C$29*(1+A_Energiepreis)^(B45-1)</f>
        <v>-857.608246757867</v>
      </c>
      <c r="E45" s="31" t="n">
        <f aca="false">C45-D45</f>
        <v>5787.11422250435</v>
      </c>
      <c r="F45" s="31" t="n">
        <f aca="false">E45/(1+A_Diskont)^B45</f>
        <v>3614.61446895905</v>
      </c>
    </row>
    <row r="46" customFormat="false" ht="15" hidden="false" customHeight="false" outlineLevel="0" collapsed="false">
      <c r="B46" s="36" t="n">
        <v>13</v>
      </c>
      <c r="C46" s="31" t="n">
        <f aca="false">$C$10*(1+A_Energiepreis)^(B46-1)</f>
        <v>5077.39115501888</v>
      </c>
      <c r="D46" s="31" t="n">
        <f aca="false">$C$29*(1+A_Energiepreis)^(B46-1)</f>
        <v>-883.336494160603</v>
      </c>
      <c r="E46" s="31" t="n">
        <f aca="false">C46-D46</f>
        <v>5960.72764917948</v>
      </c>
      <c r="F46" s="31" t="n">
        <f aca="false">E46/(1+A_Diskont)^B46</f>
        <v>3579.85856060367</v>
      </c>
    </row>
    <row r="47" customFormat="false" ht="15" hidden="false" customHeight="false" outlineLevel="0" collapsed="false">
      <c r="B47" s="36" t="n">
        <v>14</v>
      </c>
      <c r="C47" s="31" t="n">
        <f aca="false">$C$10*(1+A_Energiepreis)^(B47-1)</f>
        <v>5229.71288966944</v>
      </c>
      <c r="D47" s="31" t="n">
        <f aca="false">$C$29*(1+A_Energiepreis)^(B47-1)</f>
        <v>-909.836588985421</v>
      </c>
      <c r="E47" s="31" t="n">
        <f aca="false">C47-D47</f>
        <v>6139.54947865487</v>
      </c>
      <c r="F47" s="31" t="n">
        <f aca="false">E47/(1+A_Diskont)^B47</f>
        <v>3545.43684367479</v>
      </c>
    </row>
    <row r="48" customFormat="false" ht="15" hidden="false" customHeight="false" outlineLevel="0" collapsed="false">
      <c r="B48" s="36" t="n">
        <v>15</v>
      </c>
      <c r="C48" s="31" t="n">
        <f aca="false">$C$10*(1+A_Energiepreis)^(B48-1)</f>
        <v>5386.60427635953</v>
      </c>
      <c r="D48" s="31" t="n">
        <f aca="false">$C$29*(1+A_Energiepreis)^(B48-1)</f>
        <v>-937.131686654984</v>
      </c>
      <c r="E48" s="31" t="n">
        <f aca="false">C48-D48</f>
        <v>6323.73596301451</v>
      </c>
      <c r="F48" s="31" t="n">
        <f aca="false">E48/(1+A_Diskont)^B48</f>
        <v>3511.34610479331</v>
      </c>
    </row>
    <row r="49" customFormat="false" ht="15" hidden="false" customHeight="false" outlineLevel="0" collapsed="false">
      <c r="B49" s="36" t="n">
        <v>16</v>
      </c>
      <c r="C49" s="31" t="n">
        <f aca="false">$C$10*(1+A_Energiepreis)^(B49-1)</f>
        <v>5548.20240465031</v>
      </c>
      <c r="D49" s="31" t="n">
        <f aca="false">$C$29*(1+A_Energiepreis)^(B49-1)</f>
        <v>-965.245637254633</v>
      </c>
      <c r="E49" s="31" t="n">
        <f aca="false">C49-D49</f>
        <v>6513.44804190495</v>
      </c>
      <c r="F49" s="31" t="n">
        <f aca="false">E49/(1+A_Diskont)^B49</f>
        <v>3477.58316147798</v>
      </c>
    </row>
    <row r="50" customFormat="false" ht="15" hidden="false" customHeight="false" outlineLevel="0" collapsed="false">
      <c r="B50" s="36" t="n">
        <v>17</v>
      </c>
      <c r="C50" s="31" t="n">
        <f aca="false">$C$10*(1+A_Energiepreis)^(B50-1)</f>
        <v>5714.64847678982</v>
      </c>
      <c r="D50" s="31" t="n">
        <f aca="false">$C$29*(1+A_Energiepreis)^(B50-1)</f>
        <v>-994.203006372273</v>
      </c>
      <c r="E50" s="31" t="n">
        <f aca="false">C50-D50</f>
        <v>6708.8514831621</v>
      </c>
      <c r="F50" s="31" t="n">
        <f aca="false">E50/(1+A_Diskont)^B50</f>
        <v>3444.14486184839</v>
      </c>
    </row>
    <row r="51" customFormat="false" ht="15" hidden="false" customHeight="false" outlineLevel="0" collapsed="false">
      <c r="B51" s="36" t="n">
        <v>18</v>
      </c>
      <c r="C51" s="31" t="n">
        <f aca="false">$C$10*(1+A_Energiepreis)^(B51-1)</f>
        <v>5886.08793109352</v>
      </c>
      <c r="D51" s="31" t="n">
        <f aca="false">$C$29*(1+A_Energiepreis)^(B51-1)</f>
        <v>-1024.02909656344</v>
      </c>
      <c r="E51" s="31" t="n">
        <f aca="false">C51-D51</f>
        <v>6910.11702765696</v>
      </c>
      <c r="F51" s="31" t="n">
        <f aca="false">E51/(1+A_Diskont)^B51</f>
        <v>3411.02808433062</v>
      </c>
    </row>
    <row r="52" customFormat="false" ht="15" hidden="false" customHeight="false" outlineLevel="0" collapsed="false">
      <c r="B52" s="36" t="n">
        <v>19</v>
      </c>
      <c r="C52" s="31" t="n">
        <f aca="false">$C$10*(1+A_Energiepreis)^(B52-1)</f>
        <v>6062.67056902632</v>
      </c>
      <c r="D52" s="31" t="n">
        <f aca="false">$C$29*(1+A_Energiepreis)^(B52-1)</f>
        <v>-1054.74996946034</v>
      </c>
      <c r="E52" s="31" t="n">
        <f aca="false">C52-D52</f>
        <v>7117.42053848667</v>
      </c>
      <c r="F52" s="31" t="n">
        <f aca="false">E52/(1+A_Diskont)^B52</f>
        <v>3378.2297373659</v>
      </c>
    </row>
    <row r="53" customFormat="false" ht="15" hidden="false" customHeight="false" outlineLevel="0" collapsed="false">
      <c r="B53" s="36" t="n">
        <v>20</v>
      </c>
      <c r="C53" s="31" t="n">
        <f aca="false">$C$10*(1+A_Energiepreis)^(B53-1)</f>
        <v>6244.55068609711</v>
      </c>
      <c r="D53" s="31" t="n">
        <f aca="false">$C$29*(1+A_Energiepreis)^(B53-1)</f>
        <v>-1086.39246854415</v>
      </c>
      <c r="E53" s="31" t="n">
        <f aca="false">C53-D53</f>
        <v>7330.94315464127</v>
      </c>
      <c r="F53" s="31" t="n">
        <f aca="false">E53/(1+A_Diskont)^B53</f>
        <v>3345.746759122</v>
      </c>
    </row>
    <row r="54" customFormat="false" ht="15" hidden="false" customHeight="false" outlineLevel="0" collapsed="false">
      <c r="B54" s="32" t="s">
        <v>748</v>
      </c>
      <c r="C54" s="33" t="n">
        <f aca="false">SUM(F34:F53)</f>
        <v>73461.5282548789</v>
      </c>
    </row>
    <row r="55" customFormat="false" ht="15" hidden="false" customHeight="false" outlineLevel="0" collapsed="false">
      <c r="B55" s="4" t="s">
        <v>749</v>
      </c>
      <c r="C55" s="31" t="n">
        <f aca="false">SUM(E34:E53)</f>
        <v>112337.900161202</v>
      </c>
    </row>
  </sheetData>
  <mergeCells count="6">
    <mergeCell ref="B3:E3"/>
    <mergeCell ref="B7:E7"/>
    <mergeCell ref="B12:E12"/>
    <mergeCell ref="B22:E22"/>
    <mergeCell ref="B28:E28"/>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8"/>
  </cols>
  <sheetData>
    <row r="1" customFormat="false" ht="17.35" hidden="false" customHeight="false" outlineLevel="0" collapsed="false">
      <c r="B1" s="1" t="s">
        <v>750</v>
      </c>
    </row>
    <row r="3" customFormat="false" ht="15" hidden="false" customHeight="false" outlineLevel="0" collapsed="false">
      <c r="B3" s="14" t="s">
        <v>751</v>
      </c>
      <c r="C3" s="14"/>
      <c r="D3" s="14"/>
      <c r="E3" s="14"/>
    </row>
    <row r="4" customFormat="false" ht="15" hidden="false" customHeight="false" outlineLevel="0" collapsed="false">
      <c r="B4" s="4" t="s">
        <v>752</v>
      </c>
      <c r="C4" s="43" t="n">
        <f aca="false">IF(10_Beispiel_Rahden!$C$21="EH 40 EE",A_NB_Mehrkosten_EH40,IF(10_Beispiel_Rahden!$C$21="EH 55 EE",A_NB_Mehrkosten_EH55,0))</f>
        <v>300</v>
      </c>
    </row>
    <row r="5" customFormat="false" ht="15" hidden="false" customHeight="false" outlineLevel="0" collapsed="false">
      <c r="B5" s="4" t="s">
        <v>753</v>
      </c>
      <c r="C5" s="31" t="n">
        <f aca="false">10_Beispiel_Rahden!$C$9*(A_NB_GEG+C4)*A_Regio</f>
        <v>366000</v>
      </c>
    </row>
    <row r="6" customFormat="false" ht="15" hidden="false" customHeight="false" outlineLevel="0" collapsed="false">
      <c r="B6" s="32" t="s">
        <v>754</v>
      </c>
      <c r="C6" s="33" t="n">
        <f aca="false">C5*(1+A_BNK)+10_Beispiel_Rahden!$C$9*A_Aussen+A_Anschluesse</f>
        <v>473160</v>
      </c>
    </row>
    <row r="8" customFormat="false" ht="15" hidden="false" customHeight="false" outlineLevel="0" collapsed="false">
      <c r="B8" s="14" t="s">
        <v>755</v>
      </c>
      <c r="C8" s="14"/>
      <c r="D8" s="14"/>
      <c r="E8" s="14"/>
    </row>
    <row r="9" customFormat="false" ht="15" hidden="false" customHeight="false" outlineLevel="0" collapsed="false">
      <c r="B9" s="32" t="s">
        <v>756</v>
      </c>
      <c r="C9" s="33" t="n">
        <f aca="false">C6*(1-A_Zielrabatt)</f>
        <v>378528</v>
      </c>
    </row>
    <row r="11" customFormat="false" ht="15" hidden="false" customHeight="false" outlineLevel="0" collapsed="false">
      <c r="B11" s="14" t="s">
        <v>757</v>
      </c>
      <c r="C11" s="14"/>
      <c r="D11" s="14"/>
      <c r="E11" s="14"/>
    </row>
    <row r="12" customFormat="false" ht="15" hidden="false" customHeight="false" outlineLevel="0" collapsed="false">
      <c r="B12" s="4" t="s">
        <v>758</v>
      </c>
      <c r="C12" s="13" t="n">
        <f aca="false">11_Beispiel_Rahden!$C$13-11_Beispiel_Rahden!$C$42</f>
        <v>264940.667292948</v>
      </c>
    </row>
    <row r="13" customFormat="false" ht="15" hidden="false" customHeight="false" outlineLevel="0" collapsed="false">
      <c r="B13" s="4" t="s">
        <v>759</v>
      </c>
      <c r="C13" s="31" t="n">
        <f aca="false">C9-C12</f>
        <v>113587.332707052</v>
      </c>
    </row>
    <row r="14" customFormat="false" ht="15" hidden="false" customHeight="false" outlineLevel="0" collapsed="false">
      <c r="B14" s="4" t="s">
        <v>760</v>
      </c>
      <c r="C14" s="13" t="n">
        <f aca="false">10_Beispiel_Rahden!$C$32</f>
        <v>50150</v>
      </c>
    </row>
    <row r="15" customFormat="false" ht="15" hidden="false" customHeight="false" outlineLevel="0" collapsed="false">
      <c r="B15" s="32" t="s">
        <v>761</v>
      </c>
      <c r="C15" s="33" t="n">
        <f aca="false">C13+C14</f>
        <v>163737.332707052</v>
      </c>
    </row>
    <row r="16" customFormat="false" ht="15" hidden="false" customHeight="false" outlineLevel="0" collapsed="false">
      <c r="B16" s="4" t="s">
        <v>762</v>
      </c>
      <c r="C16" s="13" t="n">
        <f aca="false">10_Beispiel_Rahden!$C$8</f>
        <v>195000</v>
      </c>
    </row>
    <row r="17" customFormat="false" ht="15" hidden="false" customHeight="false" outlineLevel="0" collapsed="false">
      <c r="B17" s="32" t="s">
        <v>763</v>
      </c>
      <c r="C17" s="33" t="n">
        <f aca="false">C15-C16</f>
        <v>-31262.6672929479</v>
      </c>
      <c r="E17" s="7" t="s">
        <v>764</v>
      </c>
    </row>
    <row r="20" customFormat="false" ht="15" hidden="false" customHeight="false" outlineLevel="0" collapsed="false">
      <c r="B20" s="14" t="s">
        <v>765</v>
      </c>
      <c r="C20" s="14"/>
      <c r="D20" s="14"/>
      <c r="E20" s="14"/>
      <c r="F20" s="14"/>
    </row>
    <row r="21" customFormat="false" ht="15" hidden="false" customHeight="false" outlineLevel="0" collapsed="false">
      <c r="B21" s="21" t="s">
        <v>766</v>
      </c>
      <c r="C21" s="45" t="n">
        <v>0.9</v>
      </c>
      <c r="D21" s="45" t="n">
        <v>1</v>
      </c>
      <c r="E21" s="45" t="n">
        <v>1.1</v>
      </c>
    </row>
    <row r="22" customFormat="false" ht="15" hidden="false" customHeight="false" outlineLevel="0" collapsed="false">
      <c r="B22" s="34" t="n">
        <v>0</v>
      </c>
      <c r="C22" s="31" t="n">
        <f aca="false">((10_Beispiel_Rahden!$C$9*(A_NB_GEG+C4)*0.9)*(1+A_BNK)+10_Beispiel_Rahden!$C$9*A_Aussen+A_Anschluesse)*(1-0)-C12+C14</f>
        <v>215547.332707052</v>
      </c>
      <c r="D22" s="31" t="n">
        <f aca="false">((10_Beispiel_Rahden!$C$9*(A_NB_GEG+C4)*1)*(1+A_BNK)+10_Beispiel_Rahden!$C$9*A_Aussen+A_Anschluesse)*(1-0)-C12+C14</f>
        <v>258369.332707052</v>
      </c>
      <c r="E22" s="31" t="n">
        <f aca="false">((10_Beispiel_Rahden!$C$9*(A_NB_GEG+C4)*1.1)*(1+A_BNK)+10_Beispiel_Rahden!$C$9*A_Aussen+A_Anschluesse)*(1-0)-C12+C14</f>
        <v>301191.332707052</v>
      </c>
    </row>
    <row r="23" customFormat="false" ht="15" hidden="false" customHeight="false" outlineLevel="0" collapsed="false">
      <c r="B23" s="34" t="n">
        <v>0.1</v>
      </c>
      <c r="C23" s="31" t="n">
        <f aca="false">((10_Beispiel_Rahden!$C$9*(A_NB_GEG+C4)*0.9)*(1+A_BNK)+10_Beispiel_Rahden!$C$9*A_Aussen+A_Anschluesse)*(1-0.1)-C12+C14</f>
        <v>172513.532707052</v>
      </c>
      <c r="D23" s="31" t="n">
        <f aca="false">((10_Beispiel_Rahden!$C$9*(A_NB_GEG+C4)*1)*(1+A_BNK)+10_Beispiel_Rahden!$C$9*A_Aussen+A_Anschluesse)*(1-0.1)-C12+C14</f>
        <v>211053.332707052</v>
      </c>
      <c r="E23" s="31" t="n">
        <f aca="false">((10_Beispiel_Rahden!$C$9*(A_NB_GEG+C4)*1.1)*(1+A_BNK)+10_Beispiel_Rahden!$C$9*A_Aussen+A_Anschluesse)*(1-0.1)-C12+C14</f>
        <v>249593.132707052</v>
      </c>
    </row>
    <row r="24" customFormat="false" ht="15" hidden="false" customHeight="false" outlineLevel="0" collapsed="false">
      <c r="B24" s="34" t="n">
        <v>0.2</v>
      </c>
      <c r="C24" s="31" t="n">
        <f aca="false">((10_Beispiel_Rahden!$C$9*(A_NB_GEG+C4)*0.9)*(1+A_BNK)+10_Beispiel_Rahden!$C$9*A_Aussen+A_Anschluesse)*(1-0.2)-C12+C14</f>
        <v>129479.732707052</v>
      </c>
      <c r="D24" s="31" t="n">
        <f aca="false">((10_Beispiel_Rahden!$C$9*(A_NB_GEG+C4)*1)*(1+A_BNK)+10_Beispiel_Rahden!$C$9*A_Aussen+A_Anschluesse)*(1-0.2)-C12+C14</f>
        <v>163737.332707052</v>
      </c>
      <c r="E24" s="31" t="n">
        <f aca="false">((10_Beispiel_Rahden!$C$9*(A_NB_GEG+C4)*1.1)*(1+A_BNK)+10_Beispiel_Rahden!$C$9*A_Aussen+A_Anschluesse)*(1-0.2)-C12+C14</f>
        <v>197994.932707052</v>
      </c>
    </row>
    <row r="25" customFormat="false" ht="15" hidden="false" customHeight="false" outlineLevel="0" collapsed="false">
      <c r="B25" s="34" t="n">
        <v>0.3</v>
      </c>
      <c r="C25" s="31" t="n">
        <f aca="false">((10_Beispiel_Rahden!$C$9*(A_NB_GEG+C4)*0.9)*(1+A_BNK)+10_Beispiel_Rahden!$C$9*A_Aussen+A_Anschluesse)*(1-0.3)-C12+C14</f>
        <v>86445.9327070521</v>
      </c>
      <c r="D25" s="31" t="n">
        <f aca="false">((10_Beispiel_Rahden!$C$9*(A_NB_GEG+C4)*1)*(1+A_BNK)+10_Beispiel_Rahden!$C$9*A_Aussen+A_Anschluesse)*(1-0.3)-C12+C14</f>
        <v>116421.332707052</v>
      </c>
      <c r="E25" s="31" t="n">
        <f aca="false">((10_Beispiel_Rahden!$C$9*(A_NB_GEG+C4)*1.1)*(1+A_BNK)+10_Beispiel_Rahden!$C$9*A_Aussen+A_Anschluesse)*(1-0.3)-C12+C14</f>
        <v>146396.732707052</v>
      </c>
    </row>
    <row r="27" customFormat="false" ht="15" hidden="false" customHeight="false" outlineLevel="0" collapsed="false">
      <c r="B27" s="7" t="s">
        <v>767</v>
      </c>
    </row>
  </sheetData>
  <mergeCells count="4">
    <mergeCell ref="B3:E3"/>
    <mergeCell ref="B8:E8"/>
    <mergeCell ref="B11:E11"/>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20"/>
    <col collapsed="false" customWidth="true" hidden="false" outlineLevel="0" max="4" min="4" style="0" width="12"/>
  </cols>
  <sheetData>
    <row r="1" customFormat="false" ht="17.35" hidden="false" customHeight="false" outlineLevel="0" collapsed="false">
      <c r="B1" s="1" t="s">
        <v>768</v>
      </c>
    </row>
    <row r="3" customFormat="false" ht="15" hidden="false" customHeight="false" outlineLevel="0" collapsed="false">
      <c r="B3" s="14" t="s">
        <v>769</v>
      </c>
      <c r="C3" s="14"/>
      <c r="D3" s="14"/>
      <c r="E3" s="14"/>
    </row>
    <row r="4" customFormat="false" ht="15" hidden="false" customHeight="false" outlineLevel="0" collapsed="false">
      <c r="B4" s="4" t="s">
        <v>770</v>
      </c>
      <c r="C4" s="46" t="n">
        <f aca="false">14_Beispiel_Rahden!$C$9*14_Beispiel_Rahden!$C$5/1000</f>
        <v>6814.92</v>
      </c>
      <c r="D4" s="7" t="s">
        <v>771</v>
      </c>
    </row>
    <row r="5" customFormat="false" ht="15" hidden="false" customHeight="false" outlineLevel="0" collapsed="false">
      <c r="B5" s="4" t="s">
        <v>772</v>
      </c>
      <c r="C5" s="44" t="n">
        <f aca="false">14_Beispiel_Rahden!$C$26*A_CO2_Strom/1000</f>
        <v>0</v>
      </c>
      <c r="D5" s="7" t="s">
        <v>771</v>
      </c>
    </row>
    <row r="6" customFormat="false" ht="15" hidden="false" customHeight="false" outlineLevel="0" collapsed="false">
      <c r="B6" s="4" t="s">
        <v>192</v>
      </c>
      <c r="C6" s="44" t="n">
        <f aca="false">14_Beispiel_Rahden!$C$25*A_CO2_PV/1000</f>
        <v>2767.8795959596</v>
      </c>
      <c r="D6" s="7" t="s">
        <v>771</v>
      </c>
    </row>
    <row r="7" customFormat="false" ht="15" hidden="false" customHeight="false" outlineLevel="0" collapsed="false">
      <c r="B7" s="32" t="s">
        <v>773</v>
      </c>
      <c r="C7" s="47" t="n">
        <f aca="false">C5-C6</f>
        <v>-2767.8795959596</v>
      </c>
    </row>
    <row r="8" customFormat="false" ht="15" hidden="false" customHeight="false" outlineLevel="0" collapsed="false">
      <c r="B8" s="32" t="s">
        <v>774</v>
      </c>
      <c r="C8" s="47" t="n">
        <f aca="false">C4-C7</f>
        <v>9582.7995959596</v>
      </c>
    </row>
    <row r="10" customFormat="false" ht="15" hidden="false" customHeight="false" outlineLevel="0" collapsed="false">
      <c r="B10" s="14" t="s">
        <v>775</v>
      </c>
      <c r="C10" s="14"/>
      <c r="D10" s="14"/>
      <c r="E10" s="14"/>
    </row>
    <row r="11" customFormat="false" ht="15" hidden="false" customHeight="false" outlineLevel="0" collapsed="false">
      <c r="B11" s="4" t="s">
        <v>776</v>
      </c>
      <c r="C11" s="34" t="n">
        <f aca="false">14_Beispiel_Rahden!$C$23/14_Beispiel_Rahden!$C$20</f>
        <v>2.42381939727594</v>
      </c>
    </row>
    <row r="12" customFormat="false" ht="15" hidden="false" customHeight="false" outlineLevel="0" collapsed="false">
      <c r="B12" s="4" t="s">
        <v>777</v>
      </c>
      <c r="C12" s="4" t="str">
        <f aca="false">IF(OR(10_Beispiel_Rahden!$S$63="JA",10_Beispiel_Rahden!$S$64="JA"),"Nein - Wärmepumpe aktiv","Ja - keine Wärmepumpe in Kalkulation")</f>
        <v>Nein - Wärmepumpe aktiv</v>
      </c>
    </row>
    <row r="13" customFormat="false" ht="15" hidden="false" customHeight="false" outlineLevel="0" collapsed="false">
      <c r="B13" s="32" t="s">
        <v>778</v>
      </c>
      <c r="C13" s="5" t="str">
        <f aca="false">IF(NOT(OR(10_Beispiel_Rahden!$S$63="JA",10_Beispiel_Rahden!$S$64="JA")),"nicht erreichbar (fossile Heizung im Zielzustand)",IF(C11&gt;=1,"gruen: bilanziell klimaneutral",IF(C11&gt;=0.7,"gelb: teilweise gedeckt","rot: geringe Deckung")))</f>
        <v>gruen: bilanziell klimaneutral</v>
      </c>
    </row>
  </sheetData>
  <mergeCells count="2">
    <mergeCell ref="B3:E3"/>
    <mergeCell ref="B10:E10"/>
  </mergeCells>
  <conditionalFormatting sqref="C13">
    <cfRule type="expression" priority="2" aboveAverage="0" equalAverage="0" bottom="0" percent="0" rank="0" text="" dxfId="9">
      <formula>LEFT(C13,5)="gruen"</formula>
    </cfRule>
    <cfRule type="expression" priority="3" aboveAverage="0" equalAverage="0" bottom="0" percent="0" rank="0" text="" dxfId="11">
      <formula>LEFT(C13,4)="gelb"</formula>
    </cfRule>
    <cfRule type="expression" priority="4" aboveAverage="0" equalAverage="0" bottom="0" percent="0" rank="0" text="" dxfId="10">
      <formula>OR(LEFT(C13,3)="rot",LEFT(C13,5)="nicht")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1:O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24"/>
    <col collapsed="false" customWidth="true" hidden="false" outlineLevel="0" max="4" min="4" style="0" width="10"/>
    <col collapsed="false" customWidth="true" hidden="false" outlineLevel="0" max="7" min="5" style="0" width="14"/>
    <col collapsed="false" customWidth="true" hidden="false" outlineLevel="0" max="9" min="8" style="0" width="18"/>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18"/>
    <col collapsed="false" customWidth="true" hidden="false" outlineLevel="0" max="14" min="14" style="0" width="12"/>
    <col collapsed="false" customWidth="true" hidden="false" outlineLevel="0" max="15" min="15" style="0" width="14"/>
  </cols>
  <sheetData>
    <row r="1" customFormat="false" ht="17.35" hidden="false" customHeight="false" outlineLevel="0" collapsed="false">
      <c r="B1" s="1" t="s">
        <v>794</v>
      </c>
    </row>
    <row r="3" customFormat="false" ht="31.5" hidden="false" customHeight="true" outlineLevel="0" collapsed="false">
      <c r="B3" s="10" t="s">
        <v>795</v>
      </c>
      <c r="C3" s="10"/>
      <c r="D3" s="10"/>
      <c r="E3" s="10"/>
      <c r="F3" s="10"/>
      <c r="G3" s="10"/>
      <c r="H3" s="10"/>
      <c r="I3" s="10"/>
      <c r="J3" s="10"/>
      <c r="K3" s="10"/>
      <c r="L3" s="10"/>
      <c r="M3" s="10"/>
      <c r="N3" s="10"/>
      <c r="O3" s="10"/>
    </row>
    <row r="5" customFormat="false" ht="35.05" hidden="false" customHeight="false" outlineLevel="0" collapsed="false">
      <c r="B5" s="11" t="s">
        <v>30</v>
      </c>
      <c r="C5" s="11" t="s">
        <v>31</v>
      </c>
      <c r="D5" s="11" t="s">
        <v>34</v>
      </c>
      <c r="E5" s="11" t="s">
        <v>35</v>
      </c>
      <c r="F5" s="11" t="s">
        <v>36</v>
      </c>
      <c r="G5" s="11" t="s">
        <v>796</v>
      </c>
      <c r="H5" s="11" t="s">
        <v>797</v>
      </c>
      <c r="I5" s="11" t="s">
        <v>798</v>
      </c>
      <c r="J5" s="11" t="s">
        <v>799</v>
      </c>
      <c r="K5" s="11" t="s">
        <v>800</v>
      </c>
      <c r="L5" s="11" t="s">
        <v>801</v>
      </c>
      <c r="M5" s="11" t="s">
        <v>802</v>
      </c>
      <c r="N5" s="11" t="s">
        <v>803</v>
      </c>
      <c r="O5" s="11" t="s">
        <v>804</v>
      </c>
    </row>
    <row r="6" customFormat="false" ht="15" hidden="false" customHeight="false" outlineLevel="0" collapsed="false">
      <c r="B6" s="12" t="str">
        <f aca="false">00_Objektindex!B6</f>
        <v>Beispiel_Luebbecke</v>
      </c>
      <c r="C6" s="12" t="str">
        <f aca="false">00_Objektindex!C6</f>
        <v>Musterstraße 12</v>
      </c>
      <c r="D6" s="12" t="n">
        <f aca="false">00_Objektindex!F6</f>
        <v>1982</v>
      </c>
      <c r="E6" s="13" t="n">
        <f aca="false">00_Objektindex!G6</f>
        <v>279000</v>
      </c>
      <c r="F6" s="12" t="n">
        <f aca="false">00_Objektindex!H6</f>
        <v>138</v>
      </c>
      <c r="G6" s="31" t="n">
        <f aca="false">IF($B6="","",IFERROR(E6/F6,""))</f>
        <v>2021.73913043478</v>
      </c>
      <c r="H6" s="13" t="n">
        <f aca="true">IF($B6="","",IFERROR(INDIRECT("'11_"&amp;$B6&amp;"'!C13"),"#REF"))</f>
        <v>366340.520101395</v>
      </c>
      <c r="I6" s="13" t="n">
        <f aca="true">IF($B6="","",IFERROR(INDIRECT("'11_"&amp;$B6&amp;"'!C47"),"#REF"))</f>
        <v>635179.030452508</v>
      </c>
      <c r="J6" s="13" t="n">
        <f aca="true">IF($B6="","",IFERROR(INDIRECT("'15_"&amp;$B6&amp;"'!C15"),"#REF"))</f>
        <v>155875.069547492</v>
      </c>
      <c r="K6" s="13" t="n">
        <f aca="true">IF($B6="","",IFERROR(INDIRECT("'15_"&amp;$B6&amp;"'!C17"),"#REF"))</f>
        <v>-123124.930452508</v>
      </c>
      <c r="L6" s="13" t="n">
        <f aca="true">IF($B6="","",IFERROR(INDIRECT("'12_"&amp;$B6&amp;"'!C23"),"#REF"))</f>
        <v>2662.39078360681</v>
      </c>
      <c r="M6" s="13" t="n">
        <f aca="true">IF($B6="","",IFERROR(INDIRECT("'14_"&amp;$B6&amp;"'!C29"),"#REF"))</f>
        <v>93.9830454545455</v>
      </c>
      <c r="N6" s="35" t="n">
        <f aca="true">IF($B6="","",IFERROR(INDIRECT("'16_"&amp;$B6&amp;"'!C11"),"#REF"))</f>
        <v>1.18091740576497</v>
      </c>
      <c r="O6" s="32" t="str">
        <f aca="false">IF($B6="","",IF(AND(K6&gt;=0,N6&gt;=0.7,L6&lt;=A_Einkommen/12*A_Tragfaehigkeit_Quote),"gruen",IF(OR(K6&lt;0,L6&gt;A_Einkommen/12*A_Tragfaehigkeit_Quote),"rot","gelb")))</f>
        <v>rot</v>
      </c>
    </row>
    <row r="7" customFormat="false" ht="15" hidden="false" customHeight="false" outlineLevel="0" collapsed="false">
      <c r="B7" s="12" t="str">
        <f aca="false">00_Objektindex!B7</f>
        <v>Beispiel_Rahden</v>
      </c>
      <c r="C7" s="12" t="str">
        <f aca="false">00_Objektindex!C7</f>
        <v>Bahnhofstraße 4</v>
      </c>
      <c r="D7" s="12" t="n">
        <f aca="false">00_Objektindex!F7</f>
        <v>1968</v>
      </c>
      <c r="E7" s="13" t="n">
        <f aca="false">00_Objektindex!G7</f>
        <v>195000</v>
      </c>
      <c r="F7" s="12" t="n">
        <f aca="false">00_Objektindex!H7</f>
        <v>122</v>
      </c>
      <c r="G7" s="31" t="n">
        <f aca="false">IF($B7="","",IFERROR(E7/F7,""))</f>
        <v>1598.36065573771</v>
      </c>
      <c r="H7" s="13" t="n">
        <f aca="true">IF($B7="","",IFERROR(INDIRECT("'11_"&amp;$B7&amp;"'!C13"),"#REF"))</f>
        <v>306329.004661171</v>
      </c>
      <c r="I7" s="13" t="n">
        <f aca="true">IF($B7="","",IFERROR(INDIRECT("'11_"&amp;$B7&amp;"'!C47"),"#REF"))</f>
        <v>476125.667292948</v>
      </c>
      <c r="J7" s="13" t="n">
        <f aca="true">IF($B7="","",IFERROR(INDIRECT("'15_"&amp;$B7&amp;"'!C15"),"#REF"))</f>
        <v>163737.332707052</v>
      </c>
      <c r="K7" s="13" t="n">
        <f aca="true">IF($B7="","",IFERROR(INDIRECT("'15_"&amp;$B7&amp;"'!C17"),"#REF"))</f>
        <v>-31262.6672929479</v>
      </c>
      <c r="L7" s="13" t="n">
        <f aca="true">IF($B7="","",IFERROR(INDIRECT("'12_"&amp;$B7&amp;"'!C23"),"#REF"))</f>
        <v>1833.9878504841</v>
      </c>
      <c r="M7" s="13" t="n">
        <f aca="true">IF($B7="","",IFERROR(INDIRECT("'14_"&amp;$B7&amp;"'!C29"),"#REF"))</f>
        <v>-619.554444444445</v>
      </c>
      <c r="N7" s="35" t="n">
        <f aca="true">IF($B7="","",IFERROR(INDIRECT("'16_"&amp;$B7&amp;"'!C11"),"#REF"))</f>
        <v>2.42381939727594</v>
      </c>
      <c r="O7" s="32" t="str">
        <f aca="false">IF($B7="","",IF(AND(K7&gt;=0,N7&gt;=0.7,L7&lt;=A_Einkommen/12*A_Tragfaehigkeit_Quote),"gruen",IF(OR(K7&lt;0,L7&gt;A_Einkommen/12*A_Tragfaehigkeit_Quote),"rot","gelb")))</f>
        <v>rot</v>
      </c>
    </row>
    <row r="8" customFormat="false" ht="15" hidden="false" customHeight="false" outlineLevel="0" collapsed="false">
      <c r="B8" s="12" t="n">
        <f aca="false">00_Objektindex!B8</f>
        <v>0</v>
      </c>
      <c r="C8" s="12" t="str">
        <f aca="false">00_Objektindex!C8</f>
        <v/>
      </c>
      <c r="D8" s="12" t="str">
        <f aca="false">00_Objektindex!F8</f>
        <v/>
      </c>
      <c r="E8" s="13" t="str">
        <f aca="false">00_Objektindex!G8</f>
        <v/>
      </c>
      <c r="F8" s="12" t="str">
        <f aca="false">00_Objektindex!H8</f>
        <v/>
      </c>
      <c r="G8" s="31" t="str">
        <f aca="false">IF($B8="","",IFERROR(E8/F8,""))</f>
        <v/>
      </c>
      <c r="H8" s="13" t="str">
        <f aca="true">IF($B8="","",IFERROR(INDIRECT("'11_"&amp;$B8&amp;"'!C13"),"#REF"))</f>
        <v/>
      </c>
      <c r="I8" s="13" t="str">
        <f aca="true">IF($B8="","",IFERROR(INDIRECT("'11_"&amp;$B8&amp;"'!C47"),"#REF"))</f>
        <v/>
      </c>
      <c r="J8" s="13" t="str">
        <f aca="true">IF($B8="","",IFERROR(INDIRECT("'15_"&amp;$B8&amp;"'!C15"),"#REF"))</f>
        <v/>
      </c>
      <c r="K8" s="13" t="str">
        <f aca="true">IF($B8="","",IFERROR(INDIRECT("'15_"&amp;$B8&amp;"'!C17"),"#REF"))</f>
        <v/>
      </c>
      <c r="L8" s="13" t="str">
        <f aca="true">IF($B8="","",IFERROR(INDIRECT("'12_"&amp;$B8&amp;"'!C23"),"#REF"))</f>
        <v/>
      </c>
      <c r="M8" s="13" t="str">
        <f aca="true">IF($B8="","",IFERROR(INDIRECT("'14_"&amp;$B8&amp;"'!C29"),"#REF"))</f>
        <v/>
      </c>
      <c r="N8" s="35" t="str">
        <f aca="true">IF($B8="","",IFERROR(INDIRECT("'16_"&amp;$B8&amp;"'!C11"),"#REF"))</f>
        <v/>
      </c>
      <c r="O8" s="32" t="str">
        <f aca="false">IF($B8="","",IF(AND(K8&gt;=0,N8&gt;=0.7,L8&lt;=A_Einkommen/12*A_Tragfaehigkeit_Quote),"gruen",IF(OR(K8&lt;0,L8&gt;A_Einkommen/12*A_Tragfaehigkeit_Quote),"rot","gelb")))</f>
        <v/>
      </c>
    </row>
    <row r="9" customFormat="false" ht="15" hidden="false" customHeight="false" outlineLevel="0" collapsed="false">
      <c r="B9" s="12" t="n">
        <f aca="false">00_Objektindex!B9</f>
        <v>0</v>
      </c>
      <c r="C9" s="12" t="str">
        <f aca="false">00_Objektindex!C9</f>
        <v/>
      </c>
      <c r="D9" s="12" t="str">
        <f aca="false">00_Objektindex!F9</f>
        <v/>
      </c>
      <c r="E9" s="13" t="str">
        <f aca="false">00_Objektindex!G9</f>
        <v/>
      </c>
      <c r="F9" s="12" t="str">
        <f aca="false">00_Objektindex!H9</f>
        <v/>
      </c>
      <c r="G9" s="31" t="str">
        <f aca="false">IF($B9="","",IFERROR(E9/F9,""))</f>
        <v/>
      </c>
      <c r="H9" s="13" t="str">
        <f aca="true">IF($B9="","",IFERROR(INDIRECT("'11_"&amp;$B9&amp;"'!C13"),"#REF"))</f>
        <v/>
      </c>
      <c r="I9" s="13" t="str">
        <f aca="true">IF($B9="","",IFERROR(INDIRECT("'11_"&amp;$B9&amp;"'!C47"),"#REF"))</f>
        <v/>
      </c>
      <c r="J9" s="13" t="str">
        <f aca="true">IF($B9="","",IFERROR(INDIRECT("'15_"&amp;$B9&amp;"'!C15"),"#REF"))</f>
        <v/>
      </c>
      <c r="K9" s="13" t="str">
        <f aca="true">IF($B9="","",IFERROR(INDIRECT("'15_"&amp;$B9&amp;"'!C17"),"#REF"))</f>
        <v/>
      </c>
      <c r="L9" s="13" t="str">
        <f aca="true">IF($B9="","",IFERROR(INDIRECT("'12_"&amp;$B9&amp;"'!C23"),"#REF"))</f>
        <v/>
      </c>
      <c r="M9" s="13" t="str">
        <f aca="true">IF($B9="","",IFERROR(INDIRECT("'14_"&amp;$B9&amp;"'!C29"),"#REF"))</f>
        <v/>
      </c>
      <c r="N9" s="35" t="str">
        <f aca="true">IF($B9="","",IFERROR(INDIRECT("'16_"&amp;$B9&amp;"'!C11"),"#REF"))</f>
        <v/>
      </c>
      <c r="O9" s="32" t="str">
        <f aca="false">IF($B9="","",IF(AND(K9&gt;=0,N9&gt;=0.7,L9&lt;=A_Einkommen/12*A_Tragfaehigkeit_Quote),"gruen",IF(OR(K9&lt;0,L9&gt;A_Einkommen/12*A_Tragfaehigkeit_Quote),"rot","gelb")))</f>
        <v/>
      </c>
    </row>
    <row r="10" customFormat="false" ht="15" hidden="false" customHeight="false" outlineLevel="0" collapsed="false">
      <c r="B10" s="12" t="n">
        <f aca="false">00_Objektindex!B10</f>
        <v>0</v>
      </c>
      <c r="C10" s="12" t="str">
        <f aca="false">00_Objektindex!C10</f>
        <v/>
      </c>
      <c r="D10" s="12" t="str">
        <f aca="false">00_Objektindex!F10</f>
        <v/>
      </c>
      <c r="E10" s="13" t="str">
        <f aca="false">00_Objektindex!G10</f>
        <v/>
      </c>
      <c r="F10" s="12" t="str">
        <f aca="false">00_Objektindex!H10</f>
        <v/>
      </c>
      <c r="G10" s="31" t="str">
        <f aca="false">IF($B10="","",IFERROR(E10/F10,""))</f>
        <v/>
      </c>
      <c r="H10" s="13" t="str">
        <f aca="true">IF($B10="","",IFERROR(INDIRECT("'11_"&amp;$B10&amp;"'!C13"),"#REF"))</f>
        <v/>
      </c>
      <c r="I10" s="13" t="str">
        <f aca="true">IF($B10="","",IFERROR(INDIRECT("'11_"&amp;$B10&amp;"'!C47"),"#REF"))</f>
        <v/>
      </c>
      <c r="J10" s="13" t="str">
        <f aca="true">IF($B10="","",IFERROR(INDIRECT("'15_"&amp;$B10&amp;"'!C15"),"#REF"))</f>
        <v/>
      </c>
      <c r="K10" s="13" t="str">
        <f aca="true">IF($B10="","",IFERROR(INDIRECT("'15_"&amp;$B10&amp;"'!C17"),"#REF"))</f>
        <v/>
      </c>
      <c r="L10" s="13" t="str">
        <f aca="true">IF($B10="","",IFERROR(INDIRECT("'12_"&amp;$B10&amp;"'!C23"),"#REF"))</f>
        <v/>
      </c>
      <c r="M10" s="13" t="str">
        <f aca="true">IF($B10="","",IFERROR(INDIRECT("'14_"&amp;$B10&amp;"'!C29"),"#REF"))</f>
        <v/>
      </c>
      <c r="N10" s="35" t="str">
        <f aca="true">IF($B10="","",IFERROR(INDIRECT("'16_"&amp;$B10&amp;"'!C11"),"#REF"))</f>
        <v/>
      </c>
      <c r="O10" s="32" t="str">
        <f aca="false">IF($B10="","",IF(AND(K10&gt;=0,N10&gt;=0.7,L10&lt;=A_Einkommen/12*A_Tragfaehigkeit_Quote),"gruen",IF(OR(K10&lt;0,L10&gt;A_Einkommen/12*A_Tragfaehigkeit_Quote),"rot","gelb")))</f>
        <v/>
      </c>
    </row>
    <row r="11" customFormat="false" ht="15" hidden="false" customHeight="false" outlineLevel="0" collapsed="false">
      <c r="B11" s="12" t="n">
        <f aca="false">00_Objektindex!B11</f>
        <v>0</v>
      </c>
      <c r="C11" s="12" t="str">
        <f aca="false">00_Objektindex!C11</f>
        <v/>
      </c>
      <c r="D11" s="12" t="str">
        <f aca="false">00_Objektindex!F11</f>
        <v/>
      </c>
      <c r="E11" s="13" t="str">
        <f aca="false">00_Objektindex!G11</f>
        <v/>
      </c>
      <c r="F11" s="12" t="str">
        <f aca="false">00_Objektindex!H11</f>
        <v/>
      </c>
      <c r="G11" s="31" t="str">
        <f aca="false">IF($B11="","",IFERROR(E11/F11,""))</f>
        <v/>
      </c>
      <c r="H11" s="13" t="str">
        <f aca="true">IF($B11="","",IFERROR(INDIRECT("'11_"&amp;$B11&amp;"'!C13"),"#REF"))</f>
        <v/>
      </c>
      <c r="I11" s="13" t="str">
        <f aca="true">IF($B11="","",IFERROR(INDIRECT("'11_"&amp;$B11&amp;"'!C47"),"#REF"))</f>
        <v/>
      </c>
      <c r="J11" s="13" t="str">
        <f aca="true">IF($B11="","",IFERROR(INDIRECT("'15_"&amp;$B11&amp;"'!C15"),"#REF"))</f>
        <v/>
      </c>
      <c r="K11" s="13" t="str">
        <f aca="true">IF($B11="","",IFERROR(INDIRECT("'15_"&amp;$B11&amp;"'!C17"),"#REF"))</f>
        <v/>
      </c>
      <c r="L11" s="13" t="str">
        <f aca="true">IF($B11="","",IFERROR(INDIRECT("'12_"&amp;$B11&amp;"'!C23"),"#REF"))</f>
        <v/>
      </c>
      <c r="M11" s="13" t="str">
        <f aca="true">IF($B11="","",IFERROR(INDIRECT("'14_"&amp;$B11&amp;"'!C29"),"#REF"))</f>
        <v/>
      </c>
      <c r="N11" s="35" t="str">
        <f aca="true">IF($B11="","",IFERROR(INDIRECT("'16_"&amp;$B11&amp;"'!C11"),"#REF"))</f>
        <v/>
      </c>
      <c r="O11" s="32" t="str">
        <f aca="false">IF($B11="","",IF(AND(K11&gt;=0,N11&gt;=0.7,L11&lt;=A_Einkommen/12*A_Tragfaehigkeit_Quote),"gruen",IF(OR(K11&lt;0,L11&gt;A_Einkommen/12*A_Tragfaehigkeit_Quote),"rot","gelb")))</f>
        <v/>
      </c>
    </row>
    <row r="12" customFormat="false" ht="15" hidden="false" customHeight="false" outlineLevel="0" collapsed="false">
      <c r="B12" s="12" t="n">
        <f aca="false">00_Objektindex!B12</f>
        <v>0</v>
      </c>
      <c r="C12" s="12" t="str">
        <f aca="false">00_Objektindex!C12</f>
        <v/>
      </c>
      <c r="D12" s="12" t="str">
        <f aca="false">00_Objektindex!F12</f>
        <v/>
      </c>
      <c r="E12" s="13" t="str">
        <f aca="false">00_Objektindex!G12</f>
        <v/>
      </c>
      <c r="F12" s="12" t="str">
        <f aca="false">00_Objektindex!H12</f>
        <v/>
      </c>
      <c r="G12" s="31" t="str">
        <f aca="false">IF($B12="","",IFERROR(E12/F12,""))</f>
        <v/>
      </c>
      <c r="H12" s="13" t="str">
        <f aca="true">IF($B12="","",IFERROR(INDIRECT("'11_"&amp;$B12&amp;"'!C13"),"#REF"))</f>
        <v/>
      </c>
      <c r="I12" s="13" t="str">
        <f aca="true">IF($B12="","",IFERROR(INDIRECT("'11_"&amp;$B12&amp;"'!C47"),"#REF"))</f>
        <v/>
      </c>
      <c r="J12" s="13" t="str">
        <f aca="true">IF($B12="","",IFERROR(INDIRECT("'15_"&amp;$B12&amp;"'!C15"),"#REF"))</f>
        <v/>
      </c>
      <c r="K12" s="13" t="str">
        <f aca="true">IF($B12="","",IFERROR(INDIRECT("'15_"&amp;$B12&amp;"'!C17"),"#REF"))</f>
        <v/>
      </c>
      <c r="L12" s="13" t="str">
        <f aca="true">IF($B12="","",IFERROR(INDIRECT("'12_"&amp;$B12&amp;"'!C23"),"#REF"))</f>
        <v/>
      </c>
      <c r="M12" s="13" t="str">
        <f aca="true">IF($B12="","",IFERROR(INDIRECT("'14_"&amp;$B12&amp;"'!C29"),"#REF"))</f>
        <v/>
      </c>
      <c r="N12" s="35" t="str">
        <f aca="true">IF($B12="","",IFERROR(INDIRECT("'16_"&amp;$B12&amp;"'!C11"),"#REF"))</f>
        <v/>
      </c>
      <c r="O12" s="32" t="str">
        <f aca="false">IF($B12="","",IF(AND(K12&gt;=0,N12&gt;=0.7,L12&lt;=A_Einkommen/12*A_Tragfaehigkeit_Quote),"gruen",IF(OR(K12&lt;0,L12&gt;A_Einkommen/12*A_Tragfaehigkeit_Quote),"rot","gelb")))</f>
        <v/>
      </c>
    </row>
    <row r="13" customFormat="false" ht="15" hidden="false" customHeight="false" outlineLevel="0" collapsed="false">
      <c r="B13" s="12" t="n">
        <f aca="false">00_Objektindex!B13</f>
        <v>0</v>
      </c>
      <c r="C13" s="12" t="str">
        <f aca="false">00_Objektindex!C13</f>
        <v/>
      </c>
      <c r="D13" s="12" t="str">
        <f aca="false">00_Objektindex!F13</f>
        <v/>
      </c>
      <c r="E13" s="13" t="str">
        <f aca="false">00_Objektindex!G13</f>
        <v/>
      </c>
      <c r="F13" s="12" t="str">
        <f aca="false">00_Objektindex!H13</f>
        <v/>
      </c>
      <c r="G13" s="31" t="str">
        <f aca="false">IF($B13="","",IFERROR(E13/F13,""))</f>
        <v/>
      </c>
      <c r="H13" s="13" t="str">
        <f aca="true">IF($B13="","",IFERROR(INDIRECT("'11_"&amp;$B13&amp;"'!C13"),"#REF"))</f>
        <v/>
      </c>
      <c r="I13" s="13" t="str">
        <f aca="true">IF($B13="","",IFERROR(INDIRECT("'11_"&amp;$B13&amp;"'!C47"),"#REF"))</f>
        <v/>
      </c>
      <c r="J13" s="13" t="str">
        <f aca="true">IF($B13="","",IFERROR(INDIRECT("'15_"&amp;$B13&amp;"'!C15"),"#REF"))</f>
        <v/>
      </c>
      <c r="K13" s="13" t="str">
        <f aca="true">IF($B13="","",IFERROR(INDIRECT("'15_"&amp;$B13&amp;"'!C17"),"#REF"))</f>
        <v/>
      </c>
      <c r="L13" s="13" t="str">
        <f aca="true">IF($B13="","",IFERROR(INDIRECT("'12_"&amp;$B13&amp;"'!C23"),"#REF"))</f>
        <v/>
      </c>
      <c r="M13" s="13" t="str">
        <f aca="true">IF($B13="","",IFERROR(INDIRECT("'14_"&amp;$B13&amp;"'!C29"),"#REF"))</f>
        <v/>
      </c>
      <c r="N13" s="35" t="str">
        <f aca="true">IF($B13="","",IFERROR(INDIRECT("'16_"&amp;$B13&amp;"'!C11"),"#REF"))</f>
        <v/>
      </c>
      <c r="O13" s="32" t="str">
        <f aca="false">IF($B13="","",IF(AND(K13&gt;=0,N13&gt;=0.7,L13&lt;=A_Einkommen/12*A_Tragfaehigkeit_Quote),"gruen",IF(OR(K13&lt;0,L13&gt;A_Einkommen/12*A_Tragfaehigkeit_Quote),"rot","gelb")))</f>
        <v/>
      </c>
    </row>
    <row r="14" customFormat="false" ht="15" hidden="false" customHeight="false" outlineLevel="0" collapsed="false">
      <c r="B14" s="12" t="n">
        <f aca="false">00_Objektindex!B14</f>
        <v>0</v>
      </c>
      <c r="C14" s="12" t="str">
        <f aca="false">00_Objektindex!C14</f>
        <v/>
      </c>
      <c r="D14" s="12" t="str">
        <f aca="false">00_Objektindex!F14</f>
        <v/>
      </c>
      <c r="E14" s="13" t="str">
        <f aca="false">00_Objektindex!G14</f>
        <v/>
      </c>
      <c r="F14" s="12" t="str">
        <f aca="false">00_Objektindex!H14</f>
        <v/>
      </c>
      <c r="G14" s="31" t="str">
        <f aca="false">IF($B14="","",IFERROR(E14/F14,""))</f>
        <v/>
      </c>
      <c r="H14" s="13" t="str">
        <f aca="true">IF($B14="","",IFERROR(INDIRECT("'11_"&amp;$B14&amp;"'!C13"),"#REF"))</f>
        <v/>
      </c>
      <c r="I14" s="13" t="str">
        <f aca="true">IF($B14="","",IFERROR(INDIRECT("'11_"&amp;$B14&amp;"'!C47"),"#REF"))</f>
        <v/>
      </c>
      <c r="J14" s="13" t="str">
        <f aca="true">IF($B14="","",IFERROR(INDIRECT("'15_"&amp;$B14&amp;"'!C15"),"#REF"))</f>
        <v/>
      </c>
      <c r="K14" s="13" t="str">
        <f aca="true">IF($B14="","",IFERROR(INDIRECT("'15_"&amp;$B14&amp;"'!C17"),"#REF"))</f>
        <v/>
      </c>
      <c r="L14" s="13" t="str">
        <f aca="true">IF($B14="","",IFERROR(INDIRECT("'12_"&amp;$B14&amp;"'!C23"),"#REF"))</f>
        <v/>
      </c>
      <c r="M14" s="13" t="str">
        <f aca="true">IF($B14="","",IFERROR(INDIRECT("'14_"&amp;$B14&amp;"'!C29"),"#REF"))</f>
        <v/>
      </c>
      <c r="N14" s="35" t="str">
        <f aca="true">IF($B14="","",IFERROR(INDIRECT("'16_"&amp;$B14&amp;"'!C11"),"#REF"))</f>
        <v/>
      </c>
      <c r="O14" s="32" t="str">
        <f aca="false">IF($B14="","",IF(AND(K14&gt;=0,N14&gt;=0.7,L14&lt;=A_Einkommen/12*A_Tragfaehigkeit_Quote),"gruen",IF(OR(K14&lt;0,L14&gt;A_Einkommen/12*A_Tragfaehigkeit_Quote),"rot","gelb")))</f>
        <v/>
      </c>
    </row>
    <row r="15" customFormat="false" ht="15" hidden="false" customHeight="false" outlineLevel="0" collapsed="false">
      <c r="B15" s="12" t="n">
        <f aca="false">00_Objektindex!B15</f>
        <v>0</v>
      </c>
      <c r="C15" s="12" t="str">
        <f aca="false">00_Objektindex!C15</f>
        <v/>
      </c>
      <c r="D15" s="12" t="str">
        <f aca="false">00_Objektindex!F15</f>
        <v/>
      </c>
      <c r="E15" s="13" t="str">
        <f aca="false">00_Objektindex!G15</f>
        <v/>
      </c>
      <c r="F15" s="12" t="str">
        <f aca="false">00_Objektindex!H15</f>
        <v/>
      </c>
      <c r="G15" s="31" t="str">
        <f aca="false">IF($B15="","",IFERROR(E15/F15,""))</f>
        <v/>
      </c>
      <c r="H15" s="13" t="str">
        <f aca="true">IF($B15="","",IFERROR(INDIRECT("'11_"&amp;$B15&amp;"'!C13"),"#REF"))</f>
        <v/>
      </c>
      <c r="I15" s="13" t="str">
        <f aca="true">IF($B15="","",IFERROR(INDIRECT("'11_"&amp;$B15&amp;"'!C47"),"#REF"))</f>
        <v/>
      </c>
      <c r="J15" s="13" t="str">
        <f aca="true">IF($B15="","",IFERROR(INDIRECT("'15_"&amp;$B15&amp;"'!C15"),"#REF"))</f>
        <v/>
      </c>
      <c r="K15" s="13" t="str">
        <f aca="true">IF($B15="","",IFERROR(INDIRECT("'15_"&amp;$B15&amp;"'!C17"),"#REF"))</f>
        <v/>
      </c>
      <c r="L15" s="13" t="str">
        <f aca="true">IF($B15="","",IFERROR(INDIRECT("'12_"&amp;$B15&amp;"'!C23"),"#REF"))</f>
        <v/>
      </c>
      <c r="M15" s="13" t="str">
        <f aca="true">IF($B15="","",IFERROR(INDIRECT("'14_"&amp;$B15&amp;"'!C29"),"#REF"))</f>
        <v/>
      </c>
      <c r="N15" s="35" t="str">
        <f aca="true">IF($B15="","",IFERROR(INDIRECT("'16_"&amp;$B15&amp;"'!C11"),"#REF"))</f>
        <v/>
      </c>
      <c r="O15" s="32" t="str">
        <f aca="false">IF($B15="","",IF(AND(K15&gt;=0,N15&gt;=0.7,L15&lt;=A_Einkommen/12*A_Tragfaehigkeit_Quote),"gruen",IF(OR(K15&lt;0,L15&gt;A_Einkommen/12*A_Tragfaehigkeit_Quote),"rot","gelb")))</f>
        <v/>
      </c>
    </row>
    <row r="16" customFormat="false" ht="15" hidden="false" customHeight="false" outlineLevel="0" collapsed="false">
      <c r="B16" s="12" t="n">
        <f aca="false">00_Objektindex!B16</f>
        <v>0</v>
      </c>
      <c r="C16" s="12" t="str">
        <f aca="false">00_Objektindex!C16</f>
        <v/>
      </c>
      <c r="D16" s="12" t="str">
        <f aca="false">00_Objektindex!F16</f>
        <v/>
      </c>
      <c r="E16" s="13" t="str">
        <f aca="false">00_Objektindex!G16</f>
        <v/>
      </c>
      <c r="F16" s="12" t="str">
        <f aca="false">00_Objektindex!H16</f>
        <v/>
      </c>
      <c r="G16" s="31" t="str">
        <f aca="false">IF($B16="","",IFERROR(E16/F16,""))</f>
        <v/>
      </c>
      <c r="H16" s="13" t="str">
        <f aca="true">IF($B16="","",IFERROR(INDIRECT("'11_"&amp;$B16&amp;"'!C13"),"#REF"))</f>
        <v/>
      </c>
      <c r="I16" s="13" t="str">
        <f aca="true">IF($B16="","",IFERROR(INDIRECT("'11_"&amp;$B16&amp;"'!C47"),"#REF"))</f>
        <v/>
      </c>
      <c r="J16" s="13" t="str">
        <f aca="true">IF($B16="","",IFERROR(INDIRECT("'15_"&amp;$B16&amp;"'!C15"),"#REF"))</f>
        <v/>
      </c>
      <c r="K16" s="13" t="str">
        <f aca="true">IF($B16="","",IFERROR(INDIRECT("'15_"&amp;$B16&amp;"'!C17"),"#REF"))</f>
        <v/>
      </c>
      <c r="L16" s="13" t="str">
        <f aca="true">IF($B16="","",IFERROR(INDIRECT("'12_"&amp;$B16&amp;"'!C23"),"#REF"))</f>
        <v/>
      </c>
      <c r="M16" s="13" t="str">
        <f aca="true">IF($B16="","",IFERROR(INDIRECT("'14_"&amp;$B16&amp;"'!C29"),"#REF"))</f>
        <v/>
      </c>
      <c r="N16" s="35" t="str">
        <f aca="true">IF($B16="","",IFERROR(INDIRECT("'16_"&amp;$B16&amp;"'!C11"),"#REF"))</f>
        <v/>
      </c>
      <c r="O16" s="32" t="str">
        <f aca="false">IF($B16="","",IF(AND(K16&gt;=0,N16&gt;=0.7,L16&lt;=A_Einkommen/12*A_Tragfaehigkeit_Quote),"gruen",IF(OR(K16&lt;0,L16&gt;A_Einkommen/12*A_Tragfaehigkeit_Quote),"rot","gelb")))</f>
        <v/>
      </c>
    </row>
    <row r="17" customFormat="false" ht="15" hidden="false" customHeight="false" outlineLevel="0" collapsed="false">
      <c r="B17" s="12" t="n">
        <f aca="false">00_Objektindex!B17</f>
        <v>0</v>
      </c>
      <c r="C17" s="12" t="str">
        <f aca="false">00_Objektindex!C17</f>
        <v/>
      </c>
      <c r="D17" s="12" t="str">
        <f aca="false">00_Objektindex!F17</f>
        <v/>
      </c>
      <c r="E17" s="13" t="str">
        <f aca="false">00_Objektindex!G17</f>
        <v/>
      </c>
      <c r="F17" s="12" t="str">
        <f aca="false">00_Objektindex!H17</f>
        <v/>
      </c>
      <c r="G17" s="31" t="str">
        <f aca="false">IF($B17="","",IFERROR(E17/F17,""))</f>
        <v/>
      </c>
      <c r="H17" s="13" t="str">
        <f aca="true">IF($B17="","",IFERROR(INDIRECT("'11_"&amp;$B17&amp;"'!C13"),"#REF"))</f>
        <v/>
      </c>
      <c r="I17" s="13" t="str">
        <f aca="true">IF($B17="","",IFERROR(INDIRECT("'11_"&amp;$B17&amp;"'!C47"),"#REF"))</f>
        <v/>
      </c>
      <c r="J17" s="13" t="str">
        <f aca="true">IF($B17="","",IFERROR(INDIRECT("'15_"&amp;$B17&amp;"'!C15"),"#REF"))</f>
        <v/>
      </c>
      <c r="K17" s="13" t="str">
        <f aca="true">IF($B17="","",IFERROR(INDIRECT("'15_"&amp;$B17&amp;"'!C17"),"#REF"))</f>
        <v/>
      </c>
      <c r="L17" s="13" t="str">
        <f aca="true">IF($B17="","",IFERROR(INDIRECT("'12_"&amp;$B17&amp;"'!C23"),"#REF"))</f>
        <v/>
      </c>
      <c r="M17" s="13" t="str">
        <f aca="true">IF($B17="","",IFERROR(INDIRECT("'14_"&amp;$B17&amp;"'!C29"),"#REF"))</f>
        <v/>
      </c>
      <c r="N17" s="35" t="str">
        <f aca="true">IF($B17="","",IFERROR(INDIRECT("'16_"&amp;$B17&amp;"'!C11"),"#REF"))</f>
        <v/>
      </c>
      <c r="O17" s="32" t="str">
        <f aca="false">IF($B17="","",IF(AND(K17&gt;=0,N17&gt;=0.7,L17&lt;=A_Einkommen/12*A_Tragfaehigkeit_Quote),"gruen",IF(OR(K17&lt;0,L17&gt;A_Einkommen/12*A_Tragfaehigkeit_Quote),"rot","gelb")))</f>
        <v/>
      </c>
    </row>
    <row r="18" customFormat="false" ht="15" hidden="false" customHeight="false" outlineLevel="0" collapsed="false">
      <c r="B18" s="12" t="n">
        <f aca="false">00_Objektindex!B18</f>
        <v>0</v>
      </c>
      <c r="C18" s="12" t="str">
        <f aca="false">00_Objektindex!C18</f>
        <v/>
      </c>
      <c r="D18" s="12" t="str">
        <f aca="false">00_Objektindex!F18</f>
        <v/>
      </c>
      <c r="E18" s="13" t="str">
        <f aca="false">00_Objektindex!G18</f>
        <v/>
      </c>
      <c r="F18" s="12" t="str">
        <f aca="false">00_Objektindex!H18</f>
        <v/>
      </c>
      <c r="G18" s="31" t="str">
        <f aca="false">IF($B18="","",IFERROR(E18/F18,""))</f>
        <v/>
      </c>
      <c r="H18" s="13" t="str">
        <f aca="true">IF($B18="","",IFERROR(INDIRECT("'11_"&amp;$B18&amp;"'!C13"),"#REF"))</f>
        <v/>
      </c>
      <c r="I18" s="13" t="str">
        <f aca="true">IF($B18="","",IFERROR(INDIRECT("'11_"&amp;$B18&amp;"'!C47"),"#REF"))</f>
        <v/>
      </c>
      <c r="J18" s="13" t="str">
        <f aca="true">IF($B18="","",IFERROR(INDIRECT("'15_"&amp;$B18&amp;"'!C15"),"#REF"))</f>
        <v/>
      </c>
      <c r="K18" s="13" t="str">
        <f aca="true">IF($B18="","",IFERROR(INDIRECT("'15_"&amp;$B18&amp;"'!C17"),"#REF"))</f>
        <v/>
      </c>
      <c r="L18" s="13" t="str">
        <f aca="true">IF($B18="","",IFERROR(INDIRECT("'12_"&amp;$B18&amp;"'!C23"),"#REF"))</f>
        <v/>
      </c>
      <c r="M18" s="13" t="str">
        <f aca="true">IF($B18="","",IFERROR(INDIRECT("'14_"&amp;$B18&amp;"'!C29"),"#REF"))</f>
        <v/>
      </c>
      <c r="N18" s="35" t="str">
        <f aca="true">IF($B18="","",IFERROR(INDIRECT("'16_"&amp;$B18&amp;"'!C11"),"#REF"))</f>
        <v/>
      </c>
      <c r="O18" s="32" t="str">
        <f aca="false">IF($B18="","",IF(AND(K18&gt;=0,N18&gt;=0.7,L18&lt;=A_Einkommen/12*A_Tragfaehigkeit_Quote),"gruen",IF(OR(K18&lt;0,L18&gt;A_Einkommen/12*A_Tragfaehigkeit_Quote),"rot","gelb")))</f>
        <v/>
      </c>
    </row>
    <row r="19" customFormat="false" ht="15" hidden="false" customHeight="false" outlineLevel="0" collapsed="false">
      <c r="B19" s="12" t="n">
        <f aca="false">00_Objektindex!B19</f>
        <v>0</v>
      </c>
      <c r="C19" s="12" t="str">
        <f aca="false">00_Objektindex!C19</f>
        <v/>
      </c>
      <c r="D19" s="12" t="str">
        <f aca="false">00_Objektindex!F19</f>
        <v/>
      </c>
      <c r="E19" s="13" t="str">
        <f aca="false">00_Objektindex!G19</f>
        <v/>
      </c>
      <c r="F19" s="12" t="str">
        <f aca="false">00_Objektindex!H19</f>
        <v/>
      </c>
      <c r="G19" s="31" t="str">
        <f aca="false">IF($B19="","",IFERROR(E19/F19,""))</f>
        <v/>
      </c>
      <c r="H19" s="13" t="str">
        <f aca="true">IF($B19="","",IFERROR(INDIRECT("'11_"&amp;$B19&amp;"'!C13"),"#REF"))</f>
        <v/>
      </c>
      <c r="I19" s="13" t="str">
        <f aca="true">IF($B19="","",IFERROR(INDIRECT("'11_"&amp;$B19&amp;"'!C47"),"#REF"))</f>
        <v/>
      </c>
      <c r="J19" s="13" t="str">
        <f aca="true">IF($B19="","",IFERROR(INDIRECT("'15_"&amp;$B19&amp;"'!C15"),"#REF"))</f>
        <v/>
      </c>
      <c r="K19" s="13" t="str">
        <f aca="true">IF($B19="","",IFERROR(INDIRECT("'15_"&amp;$B19&amp;"'!C17"),"#REF"))</f>
        <v/>
      </c>
      <c r="L19" s="13" t="str">
        <f aca="true">IF($B19="","",IFERROR(INDIRECT("'12_"&amp;$B19&amp;"'!C23"),"#REF"))</f>
        <v/>
      </c>
      <c r="M19" s="13" t="str">
        <f aca="true">IF($B19="","",IFERROR(INDIRECT("'14_"&amp;$B19&amp;"'!C29"),"#REF"))</f>
        <v/>
      </c>
      <c r="N19" s="35" t="str">
        <f aca="true">IF($B19="","",IFERROR(INDIRECT("'16_"&amp;$B19&amp;"'!C11"),"#REF"))</f>
        <v/>
      </c>
      <c r="O19" s="32" t="str">
        <f aca="false">IF($B19="","",IF(AND(K19&gt;=0,N19&gt;=0.7,L19&lt;=A_Einkommen/12*A_Tragfaehigkeit_Quote),"gruen",IF(OR(K19&lt;0,L19&gt;A_Einkommen/12*A_Tragfaehigkeit_Quote),"rot","gelb")))</f>
        <v/>
      </c>
    </row>
    <row r="20" customFormat="false" ht="15" hidden="false" customHeight="false" outlineLevel="0" collapsed="false">
      <c r="B20" s="12" t="n">
        <f aca="false">00_Objektindex!B20</f>
        <v>0</v>
      </c>
      <c r="C20" s="12" t="str">
        <f aca="false">00_Objektindex!C20</f>
        <v/>
      </c>
      <c r="D20" s="12" t="str">
        <f aca="false">00_Objektindex!F20</f>
        <v/>
      </c>
      <c r="E20" s="13" t="str">
        <f aca="false">00_Objektindex!G20</f>
        <v/>
      </c>
      <c r="F20" s="12" t="str">
        <f aca="false">00_Objektindex!H20</f>
        <v/>
      </c>
      <c r="G20" s="31" t="str">
        <f aca="false">IF($B20="","",IFERROR(E20/F20,""))</f>
        <v/>
      </c>
      <c r="H20" s="13" t="str">
        <f aca="true">IF($B20="","",IFERROR(INDIRECT("'11_"&amp;$B20&amp;"'!C13"),"#REF"))</f>
        <v/>
      </c>
      <c r="I20" s="13" t="str">
        <f aca="true">IF($B20="","",IFERROR(INDIRECT("'11_"&amp;$B20&amp;"'!C47"),"#REF"))</f>
        <v/>
      </c>
      <c r="J20" s="13" t="str">
        <f aca="true">IF($B20="","",IFERROR(INDIRECT("'15_"&amp;$B20&amp;"'!C15"),"#REF"))</f>
        <v/>
      </c>
      <c r="K20" s="13" t="str">
        <f aca="true">IF($B20="","",IFERROR(INDIRECT("'15_"&amp;$B20&amp;"'!C17"),"#REF"))</f>
        <v/>
      </c>
      <c r="L20" s="13" t="str">
        <f aca="true">IF($B20="","",IFERROR(INDIRECT("'12_"&amp;$B20&amp;"'!C23"),"#REF"))</f>
        <v/>
      </c>
      <c r="M20" s="13" t="str">
        <f aca="true">IF($B20="","",IFERROR(INDIRECT("'14_"&amp;$B20&amp;"'!C29"),"#REF"))</f>
        <v/>
      </c>
      <c r="N20" s="35" t="str">
        <f aca="true">IF($B20="","",IFERROR(INDIRECT("'16_"&amp;$B20&amp;"'!C11"),"#REF"))</f>
        <v/>
      </c>
      <c r="O20" s="32" t="str">
        <f aca="false">IF($B20="","",IF(AND(K20&gt;=0,N20&gt;=0.7,L20&lt;=A_Einkommen/12*A_Tragfaehigkeit_Quote),"gruen",IF(OR(K20&lt;0,L20&gt;A_Einkommen/12*A_Tragfaehigkeit_Quote),"rot","gelb")))</f>
        <v/>
      </c>
    </row>
  </sheetData>
  <mergeCells count="1">
    <mergeCell ref="B3:O3"/>
  </mergeCells>
  <conditionalFormatting sqref="O6:O20">
    <cfRule type="expression" priority="2" aboveAverage="0" equalAverage="0" bottom="0" percent="0" rank="0" text="" dxfId="9">
      <formula>LEFT(O6,4)="gruen"</formula>
    </cfRule>
    <cfRule type="expression" priority="3" aboveAverage="0" equalAverage="0" bottom="0" percent="0" rank="0" text="" dxfId="11">
      <formula>LEFT(O6,4)="gelb"</formula>
    </cfRule>
    <cfRule type="expression" priority="4" aboveAverage="0" equalAverage="0" bottom="0" percent="0" rank="0" text="" dxfId="10">
      <formula>LEFT(O6,3)="rot"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6"/>
    <col collapsed="false" customWidth="true" hidden="false" outlineLevel="0" max="4" min="4" style="0" width="34"/>
    <col collapsed="false" customWidth="true" hidden="false" outlineLevel="0" max="5" min="5" style="0" width="12"/>
    <col collapsed="false" customWidth="true" hidden="false" outlineLevel="0" max="6" min="6" style="0" width="16"/>
    <col collapsed="false" customWidth="true" hidden="false" outlineLevel="0" max="7" min="7" style="0" width="46"/>
  </cols>
  <sheetData>
    <row r="1" customFormat="false" ht="17.35" hidden="false" customHeight="false" outlineLevel="0" collapsed="false">
      <c r="B1" s="1" t="s">
        <v>805</v>
      </c>
    </row>
    <row r="3" customFormat="false" ht="15" hidden="false" customHeight="true" outlineLevel="0" collapsed="false">
      <c r="B3" s="22" t="s">
        <v>806</v>
      </c>
      <c r="C3" s="22"/>
      <c r="D3" s="22"/>
      <c r="E3" s="22"/>
      <c r="F3" s="22"/>
      <c r="G3" s="22"/>
    </row>
    <row r="5" customFormat="false" ht="15" hidden="false" customHeight="false" outlineLevel="0" collapsed="false">
      <c r="B5" s="11" t="s">
        <v>45</v>
      </c>
      <c r="C5" s="11" t="s">
        <v>807</v>
      </c>
      <c r="D5" s="11" t="s">
        <v>490</v>
      </c>
      <c r="E5" s="11" t="s">
        <v>808</v>
      </c>
      <c r="F5" s="11" t="s">
        <v>809</v>
      </c>
      <c r="G5" s="11" t="s">
        <v>810</v>
      </c>
    </row>
    <row r="6" customFormat="false" ht="45" hidden="false" customHeight="true" outlineLevel="0" collapsed="false">
      <c r="B6" s="48" t="s">
        <v>811</v>
      </c>
      <c r="C6" s="48" t="s">
        <v>812</v>
      </c>
      <c r="D6" s="49" t="s">
        <v>813</v>
      </c>
      <c r="E6" s="7" t="s">
        <v>814</v>
      </c>
      <c r="F6" s="50" t="s">
        <v>815</v>
      </c>
      <c r="G6" s="48" t="s">
        <v>816</v>
      </c>
    </row>
    <row r="7" customFormat="false" ht="45" hidden="false" customHeight="true" outlineLevel="0" collapsed="false">
      <c r="B7" s="48" t="s">
        <v>817</v>
      </c>
      <c r="C7" s="48" t="s">
        <v>818</v>
      </c>
      <c r="D7" s="49" t="s">
        <v>819</v>
      </c>
      <c r="E7" s="7" t="s">
        <v>814</v>
      </c>
      <c r="F7" s="50" t="s">
        <v>815</v>
      </c>
      <c r="G7" s="48" t="s">
        <v>820</v>
      </c>
    </row>
    <row r="8" customFormat="false" ht="45" hidden="false" customHeight="true" outlineLevel="0" collapsed="false">
      <c r="B8" s="48" t="s">
        <v>821</v>
      </c>
      <c r="C8" s="48" t="s">
        <v>822</v>
      </c>
      <c r="D8" s="49" t="s">
        <v>823</v>
      </c>
      <c r="E8" s="7" t="s">
        <v>814</v>
      </c>
      <c r="F8" s="50" t="s">
        <v>815</v>
      </c>
      <c r="G8" s="48" t="s">
        <v>824</v>
      </c>
    </row>
    <row r="9" customFormat="false" ht="45" hidden="false" customHeight="true" outlineLevel="0" collapsed="false">
      <c r="B9" s="48" t="s">
        <v>825</v>
      </c>
      <c r="C9" s="48" t="s">
        <v>826</v>
      </c>
      <c r="D9" s="49" t="s">
        <v>827</v>
      </c>
      <c r="E9" s="7" t="s">
        <v>814</v>
      </c>
      <c r="F9" s="51" t="s">
        <v>828</v>
      </c>
      <c r="G9" s="48" t="s">
        <v>829</v>
      </c>
    </row>
    <row r="10" customFormat="false" ht="45" hidden="false" customHeight="true" outlineLevel="0" collapsed="false">
      <c r="B10" s="48" t="s">
        <v>830</v>
      </c>
      <c r="C10" s="48" t="s">
        <v>831</v>
      </c>
      <c r="D10" s="49" t="s">
        <v>832</v>
      </c>
      <c r="E10" s="7" t="s">
        <v>814</v>
      </c>
      <c r="F10" s="50" t="s">
        <v>815</v>
      </c>
      <c r="G10" s="48" t="s">
        <v>833</v>
      </c>
    </row>
    <row r="11" customFormat="false" ht="45" hidden="false" customHeight="true" outlineLevel="0" collapsed="false">
      <c r="B11" s="48" t="s">
        <v>834</v>
      </c>
      <c r="C11" s="48" t="s">
        <v>835</v>
      </c>
      <c r="D11" s="49" t="s">
        <v>836</v>
      </c>
      <c r="E11" s="7" t="s">
        <v>814</v>
      </c>
      <c r="F11" s="50" t="s">
        <v>815</v>
      </c>
      <c r="G11" s="48" t="s">
        <v>837</v>
      </c>
    </row>
    <row r="12" customFormat="false" ht="45" hidden="false" customHeight="true" outlineLevel="0" collapsed="false">
      <c r="B12" s="48" t="s">
        <v>838</v>
      </c>
      <c r="C12" s="48" t="s">
        <v>839</v>
      </c>
      <c r="D12" s="49" t="s">
        <v>840</v>
      </c>
      <c r="E12" s="7" t="s">
        <v>814</v>
      </c>
      <c r="F12" s="51" t="s">
        <v>828</v>
      </c>
      <c r="G12" s="48" t="s">
        <v>841</v>
      </c>
    </row>
    <row r="13" customFormat="false" ht="45" hidden="false" customHeight="true" outlineLevel="0" collapsed="false">
      <c r="B13" s="48" t="s">
        <v>842</v>
      </c>
      <c r="C13" s="48" t="s">
        <v>843</v>
      </c>
      <c r="D13" s="49" t="s">
        <v>844</v>
      </c>
      <c r="E13" s="7" t="s">
        <v>814</v>
      </c>
      <c r="F13" s="51" t="s">
        <v>828</v>
      </c>
      <c r="G13" s="48" t="s">
        <v>845</v>
      </c>
    </row>
    <row r="14" customFormat="false" ht="45" hidden="false" customHeight="true" outlineLevel="0" collapsed="false">
      <c r="B14" s="48" t="s">
        <v>846</v>
      </c>
      <c r="C14" s="48" t="s">
        <v>847</v>
      </c>
      <c r="D14" s="49" t="s">
        <v>848</v>
      </c>
      <c r="E14" s="7" t="s">
        <v>173</v>
      </c>
      <c r="F14" s="51" t="s">
        <v>828</v>
      </c>
      <c r="G14" s="48" t="s">
        <v>849</v>
      </c>
    </row>
    <row r="15" customFormat="false" ht="45" hidden="false" customHeight="true" outlineLevel="0" collapsed="false">
      <c r="B15" s="48" t="s">
        <v>850</v>
      </c>
      <c r="C15" s="48" t="s">
        <v>851</v>
      </c>
      <c r="D15" s="49" t="s">
        <v>852</v>
      </c>
      <c r="E15" s="7" t="s">
        <v>814</v>
      </c>
      <c r="F15" s="5" t="s">
        <v>853</v>
      </c>
      <c r="G15" s="48" t="s">
        <v>854</v>
      </c>
    </row>
    <row r="16" customFormat="false" ht="45" hidden="false" customHeight="true" outlineLevel="0" collapsed="false">
      <c r="B16" s="48" t="s">
        <v>855</v>
      </c>
      <c r="C16" s="48" t="s">
        <v>856</v>
      </c>
      <c r="D16" s="49" t="s">
        <v>857</v>
      </c>
      <c r="E16" s="7" t="s">
        <v>814</v>
      </c>
      <c r="F16" s="51" t="s">
        <v>828</v>
      </c>
      <c r="G16" s="48" t="s">
        <v>858</v>
      </c>
    </row>
    <row r="17" customFormat="false" ht="45" hidden="false" customHeight="true" outlineLevel="0" collapsed="false">
      <c r="B17" s="48" t="s">
        <v>859</v>
      </c>
      <c r="C17" s="48" t="s">
        <v>860</v>
      </c>
      <c r="D17" s="49" t="s">
        <v>861</v>
      </c>
      <c r="E17" s="7" t="s">
        <v>814</v>
      </c>
      <c r="F17" s="50" t="s">
        <v>815</v>
      </c>
      <c r="G17" s="48" t="s">
        <v>862</v>
      </c>
    </row>
    <row r="18" customFormat="false" ht="45" hidden="false" customHeight="true" outlineLevel="0" collapsed="false">
      <c r="B18" s="48" t="s">
        <v>863</v>
      </c>
      <c r="C18" s="48" t="s">
        <v>856</v>
      </c>
      <c r="D18" s="49" t="s">
        <v>864</v>
      </c>
      <c r="E18" s="7" t="s">
        <v>814</v>
      </c>
      <c r="F18" s="5" t="s">
        <v>853</v>
      </c>
      <c r="G18" s="48" t="s">
        <v>865</v>
      </c>
    </row>
    <row r="19" customFormat="false" ht="45" hidden="false" customHeight="true" outlineLevel="0" collapsed="false">
      <c r="B19" s="48" t="s">
        <v>866</v>
      </c>
      <c r="C19" s="48" t="s">
        <v>867</v>
      </c>
      <c r="D19" s="49" t="s">
        <v>868</v>
      </c>
      <c r="E19" s="7" t="s">
        <v>814</v>
      </c>
      <c r="F19" s="51" t="s">
        <v>828</v>
      </c>
      <c r="G19" s="48" t="s">
        <v>869</v>
      </c>
    </row>
    <row r="20" customFormat="false" ht="45" hidden="false" customHeight="true" outlineLevel="0" collapsed="false">
      <c r="B20" s="48" t="s">
        <v>870</v>
      </c>
      <c r="C20" s="48" t="s">
        <v>871</v>
      </c>
      <c r="D20" s="49" t="s">
        <v>872</v>
      </c>
      <c r="E20" s="7" t="s">
        <v>814</v>
      </c>
      <c r="F20" s="51" t="s">
        <v>828</v>
      </c>
      <c r="G20" s="48" t="s">
        <v>873</v>
      </c>
    </row>
  </sheetData>
  <mergeCells count="1">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4" min="3" style="0" width="18"/>
    <col collapsed="false" customWidth="true" hidden="false" outlineLevel="0" max="5" min="5" style="0" width="14"/>
    <col collapsed="false" customWidth="true" hidden="false" outlineLevel="0" max="6" min="6" style="0" width="12"/>
    <col collapsed="false" customWidth="true" hidden="false" outlineLevel="0" max="7" min="7" style="0" width="60"/>
  </cols>
  <sheetData>
    <row r="1" customFormat="false" ht="17.35" hidden="false" customHeight="false" outlineLevel="0" collapsed="false">
      <c r="B1" s="1" t="s">
        <v>874</v>
      </c>
    </row>
    <row r="3" customFormat="false" ht="60" hidden="false" customHeight="true" outlineLevel="0" collapsed="false">
      <c r="B3" s="10" t="s">
        <v>875</v>
      </c>
      <c r="C3" s="10"/>
      <c r="D3" s="10"/>
      <c r="E3" s="10"/>
      <c r="F3" s="10"/>
      <c r="G3" s="10"/>
      <c r="H3" s="10"/>
    </row>
    <row r="5" customFormat="false" ht="23.85" hidden="false" customHeight="false" outlineLevel="0" collapsed="false">
      <c r="B5" s="11" t="s">
        <v>876</v>
      </c>
      <c r="C5" s="11" t="s">
        <v>877</v>
      </c>
      <c r="D5" s="11" t="s">
        <v>878</v>
      </c>
      <c r="E5" s="11" t="s">
        <v>879</v>
      </c>
      <c r="F5" s="11" t="s">
        <v>880</v>
      </c>
      <c r="G5" s="11" t="s">
        <v>881</v>
      </c>
    </row>
    <row r="6" customFormat="false" ht="39.75" hidden="false" customHeight="true" outlineLevel="0" collapsed="false">
      <c r="B6" s="48" t="s">
        <v>882</v>
      </c>
      <c r="C6" s="52" t="n">
        <v>318829.5</v>
      </c>
      <c r="D6" s="53" t="n">
        <f aca="false">11_Kalkulation!C8</f>
        <v>318829.5</v>
      </c>
      <c r="E6" s="43" t="n">
        <f aca="false">D6-C6</f>
        <v>0</v>
      </c>
      <c r="F6" s="32" t="str">
        <f aca="false">IF(ABS(E6)&lt;0.01,"OK","FEHLER")</f>
        <v>OK</v>
      </c>
      <c r="G6" s="49" t="s">
        <v>883</v>
      </c>
    </row>
    <row r="7" customFormat="false" ht="39.75" hidden="false" customHeight="true" outlineLevel="0" collapsed="false">
      <c r="B7" s="48" t="s">
        <v>884</v>
      </c>
      <c r="C7" s="52" t="n">
        <v>-9.5</v>
      </c>
      <c r="D7" s="53" t="n">
        <f aca="false">10_VORLAGE!P51</f>
        <v>-9.5</v>
      </c>
      <c r="E7" s="43" t="n">
        <f aca="false">D7-C7</f>
        <v>0</v>
      </c>
      <c r="F7" s="32" t="str">
        <f aca="false">IF(ABS(E7)&lt;0.01,"OK","FEHLER")</f>
        <v>OK</v>
      </c>
      <c r="G7" s="49" t="s">
        <v>885</v>
      </c>
    </row>
    <row r="8" customFormat="false" ht="39.75" hidden="false" customHeight="true" outlineLevel="0" collapsed="false">
      <c r="B8" s="48" t="s">
        <v>886</v>
      </c>
      <c r="C8" s="52" t="n">
        <v>2026</v>
      </c>
      <c r="D8" s="53" t="n">
        <f aca="false">10_VORLAGE!Q51</f>
        <v>2026</v>
      </c>
      <c r="E8" s="43" t="n">
        <f aca="false">D8-C8</f>
        <v>0</v>
      </c>
      <c r="F8" s="32" t="str">
        <f aca="false">IF(ABS(E8)&lt;0.01,"OK","FEHLER")</f>
        <v>OK</v>
      </c>
      <c r="G8" s="49" t="s">
        <v>887</v>
      </c>
    </row>
    <row r="9" customFormat="false" ht="39.75" hidden="false" customHeight="true" outlineLevel="0" collapsed="false">
      <c r="B9" s="48" t="s">
        <v>888</v>
      </c>
      <c r="C9" s="52" t="n">
        <v>43940</v>
      </c>
      <c r="D9" s="53" t="n">
        <f aca="false">10_VORLAGE!J51</f>
        <v>43940</v>
      </c>
      <c r="E9" s="43" t="n">
        <f aca="false">D9-C9</f>
        <v>0</v>
      </c>
      <c r="F9" s="32" t="str">
        <f aca="false">IF(ABS(E9)&lt;0.01,"OK","FEHLER")</f>
        <v>OK</v>
      </c>
      <c r="G9" s="49" t="s">
        <v>889</v>
      </c>
    </row>
    <row r="10" customFormat="false" ht="39.75" hidden="false" customHeight="true" outlineLevel="0" collapsed="false">
      <c r="B10" s="48" t="s">
        <v>890</v>
      </c>
      <c r="C10" s="52" t="n">
        <v>21000</v>
      </c>
      <c r="D10" s="53" t="n">
        <f aca="false">11_Kalkulation!C23</f>
        <v>21000</v>
      </c>
      <c r="E10" s="43" t="n">
        <f aca="false">D10-C10</f>
        <v>0</v>
      </c>
      <c r="F10" s="32" t="str">
        <f aca="false">IF(ABS(E10)&lt;0.01,"OK","FEHLER")</f>
        <v>OK</v>
      </c>
      <c r="G10" s="49" t="s">
        <v>891</v>
      </c>
    </row>
    <row r="11" customFormat="false" ht="39.75" hidden="false" customHeight="true" outlineLevel="0" collapsed="false">
      <c r="B11" s="48" t="s">
        <v>892</v>
      </c>
      <c r="C11" s="52" t="n">
        <v>15323.42</v>
      </c>
      <c r="D11" s="53" t="n">
        <f aca="false">12_Finanzierung!E65</f>
        <v>15323.4168667716</v>
      </c>
      <c r="E11" s="43" t="n">
        <f aca="false">D11-C11</f>
        <v>-0.00313322842521302</v>
      </c>
      <c r="F11" s="32" t="str">
        <f aca="false">IF(ABS(E11)&lt;0.01,"OK","FEHLER")</f>
        <v>OK</v>
      </c>
      <c r="G11" s="49" t="s">
        <v>893</v>
      </c>
    </row>
    <row r="12" customFormat="false" ht="39.75" hidden="false" customHeight="true" outlineLevel="0" collapsed="false">
      <c r="B12" s="48" t="s">
        <v>894</v>
      </c>
      <c r="C12" s="52" t="n">
        <v>10215.61</v>
      </c>
      <c r="D12" s="53" t="n">
        <f aca="false">12_Finanzierung!F65</f>
        <v>10215.6112445144</v>
      </c>
      <c r="E12" s="43" t="n">
        <f aca="false">D12-C12</f>
        <v>0.00124451438387041</v>
      </c>
      <c r="F12" s="32" t="str">
        <f aca="false">IF(ABS(E12)&lt;0.01,"OK","FEHLER")</f>
        <v>OK</v>
      </c>
      <c r="G12" s="49" t="s">
        <v>895</v>
      </c>
    </row>
    <row r="13" customFormat="false" ht="39.75" hidden="false" customHeight="true" outlineLevel="0" collapsed="false">
      <c r="B13" s="48" t="s">
        <v>896</v>
      </c>
      <c r="C13" s="52" t="n">
        <v>398408.84</v>
      </c>
      <c r="D13" s="53" t="n">
        <f aca="false">12_Finanzierung!H65</f>
        <v>398408.838536061</v>
      </c>
      <c r="E13" s="43" t="n">
        <f aca="false">D13-C13</f>
        <v>-0.00146393908653408</v>
      </c>
      <c r="F13" s="32" t="str">
        <f aca="false">IF(ABS(E13)&lt;0.01,"OK","FEHLER")</f>
        <v>OK</v>
      </c>
      <c r="G13" s="49" t="s">
        <v>897</v>
      </c>
    </row>
    <row r="14" customFormat="false" ht="39.75" hidden="false" customHeight="true" outlineLevel="0" collapsed="false">
      <c r="B14" s="48" t="s">
        <v>898</v>
      </c>
      <c r="C14" s="52" t="n">
        <v>149673.05</v>
      </c>
      <c r="D14" s="53" t="n">
        <f aca="false">15_Zielpreis!C15</f>
        <v>149673.050219425</v>
      </c>
      <c r="E14" s="43" t="n">
        <f aca="false">D14-C14</f>
        <v>0.000219424604438245</v>
      </c>
      <c r="F14" s="32" t="str">
        <f aca="false">IF(ABS(E14)&lt;0.01,"OK","FEHLER")</f>
        <v>OK</v>
      </c>
      <c r="G14" s="49" t="s">
        <v>899</v>
      </c>
    </row>
    <row r="16" customFormat="false" ht="15" hidden="false" customHeight="false" outlineLevel="0" collapsed="false">
      <c r="B16" s="32" t="s">
        <v>900</v>
      </c>
      <c r="C16" s="5" t="str">
        <f aca="false">IF(COUNTIF(F6:F14,"FEHLER")=0,"ALLE TESTS OK","FEHLER VORHANDEN - PRÜFEN")</f>
        <v>ALLE TESTS OK</v>
      </c>
    </row>
  </sheetData>
  <mergeCells count="1">
    <mergeCell ref="B3:H3"/>
  </mergeCells>
  <conditionalFormatting sqref="F6:F14">
    <cfRule type="cellIs" priority="2" operator="equal" aboveAverage="0" equalAverage="0" bottom="0" percent="0" rank="0" text="" dxfId="9">
      <formula>"OK"</formula>
    </cfRule>
    <cfRule type="cellIs" priority="3" operator="equal" aboveAverage="0" equalAverage="0" bottom="0" percent="0" rank="0" text="" dxfId="10">
      <formula>"FEHLER"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2026-08-20T22:56:41Z</dcterms:created>
  <dc:creator>openpyxl</dc:creator>
  <dc:description/>
  <dc:language>en-US</dc:language>
  <cp:lastModifiedBy/>
  <dcterms:modified xsi:type="dcterms:W3CDTF">2026-08-20T22:56:43Z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